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ehacuk-my.sharepoint.com/personal/clacap_ceh_ac_uk/Documents/metamet/tests/testthat/data-raw/"/>
    </mc:Choice>
  </mc:AlternateContent>
  <xr:revisionPtr revIDLastSave="2" documentId="13_ncr:1_{3A480153-A5CB-4962-96B3-DA1C3040D664}" xr6:coauthVersionLast="47" xr6:coauthVersionMax="47" xr10:uidLastSave="{EA9B4E97-8CB5-4EF9-BF9B-68D61D592B8D}"/>
  <bookViews>
    <workbookView xWindow="-110" yWindow="-110" windowWidth="19420" windowHeight="11500" xr2:uid="{A45171B9-DFAC-4AFC-87E9-9DEEF5646C72}"/>
  </bookViews>
  <sheets>
    <sheet name="dt_meta" sheetId="1" r:id="rId1"/>
    <sheet name="naming_lookup" sheetId="3" r:id="rId2"/>
    <sheet name="dt_var_naming" sheetId="2" r:id="rId3"/>
  </sheets>
  <definedNames>
    <definedName name="_xlnm._FilterDatabase" localSheetId="0" hidden="1">dt_meta!$A$1:$X$119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8" i="1" l="1"/>
  <c r="T138" i="1"/>
  <c r="S138" i="1"/>
  <c r="P138" i="1"/>
  <c r="O138" i="1"/>
  <c r="U137" i="1"/>
  <c r="T137" i="1"/>
  <c r="S137" i="1"/>
  <c r="P137" i="1"/>
  <c r="O137" i="1"/>
  <c r="U136" i="1"/>
  <c r="T136" i="1"/>
  <c r="S136" i="1"/>
  <c r="P136" i="1"/>
  <c r="O136" i="1"/>
  <c r="U135" i="1"/>
  <c r="T135" i="1"/>
  <c r="S135" i="1"/>
  <c r="P135" i="1"/>
  <c r="O135" i="1"/>
  <c r="U134" i="1"/>
  <c r="T134" i="1"/>
  <c r="S134" i="1"/>
  <c r="P134" i="1"/>
  <c r="O134" i="1"/>
  <c r="U133" i="1"/>
  <c r="T133" i="1"/>
  <c r="S133" i="1"/>
  <c r="P133" i="1"/>
  <c r="O133" i="1"/>
  <c r="U132" i="1"/>
  <c r="T132" i="1"/>
  <c r="S132" i="1"/>
  <c r="P132" i="1"/>
  <c r="O132" i="1"/>
  <c r="U131" i="1"/>
  <c r="T131" i="1"/>
  <c r="S131" i="1"/>
  <c r="P131" i="1"/>
  <c r="O131" i="1"/>
  <c r="U130" i="1"/>
  <c r="T130" i="1"/>
  <c r="S130" i="1"/>
  <c r="P130" i="1"/>
  <c r="O130" i="1"/>
  <c r="U129" i="1"/>
  <c r="T129" i="1"/>
  <c r="S129" i="1"/>
  <c r="P129" i="1"/>
  <c r="O129" i="1"/>
  <c r="U128" i="1"/>
  <c r="T128" i="1"/>
  <c r="S128" i="1"/>
  <c r="P128" i="1"/>
  <c r="O128" i="1"/>
  <c r="U123" i="1"/>
  <c r="T123" i="1"/>
  <c r="S123" i="1"/>
  <c r="P123" i="1"/>
  <c r="O123" i="1"/>
  <c r="U124" i="1"/>
  <c r="T124" i="1"/>
  <c r="S124" i="1"/>
  <c r="P124" i="1"/>
  <c r="O124" i="1"/>
  <c r="U125" i="1"/>
  <c r="T125" i="1"/>
  <c r="S125" i="1"/>
  <c r="P125" i="1"/>
  <c r="O125" i="1"/>
  <c r="U126" i="1"/>
  <c r="T126" i="1"/>
  <c r="S126" i="1"/>
  <c r="P126" i="1"/>
  <c r="O126" i="1"/>
  <c r="U127" i="1"/>
  <c r="T127" i="1"/>
  <c r="S127" i="1"/>
  <c r="P127" i="1"/>
  <c r="O127" i="1"/>
  <c r="U120" i="1"/>
  <c r="T120" i="1"/>
  <c r="S120" i="1"/>
  <c r="P120" i="1"/>
  <c r="O120" i="1"/>
  <c r="U121" i="1"/>
  <c r="T121" i="1"/>
  <c r="S121" i="1"/>
  <c r="P121" i="1"/>
  <c r="O121" i="1"/>
  <c r="U122" i="1"/>
  <c r="T122" i="1"/>
  <c r="S122" i="1"/>
  <c r="P122" i="1"/>
  <c r="O122" i="1"/>
  <c r="U118" i="1"/>
  <c r="T118" i="1"/>
  <c r="S118" i="1"/>
  <c r="P118" i="1"/>
  <c r="O118" i="1"/>
  <c r="U119" i="1"/>
  <c r="T119" i="1"/>
  <c r="S119" i="1"/>
  <c r="P119" i="1"/>
  <c r="O119" i="1"/>
  <c r="E18" i="1"/>
  <c r="D18" i="1" s="1"/>
  <c r="E17" i="1"/>
  <c r="D17" i="1" s="1"/>
  <c r="E16" i="1"/>
  <c r="D16" i="1" s="1"/>
  <c r="E15" i="1"/>
  <c r="D15" i="1" s="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 r="E101" i="1"/>
  <c r="D101" i="1" s="1"/>
  <c r="E100" i="1"/>
  <c r="D100" i="1" s="1"/>
  <c r="E99" i="1"/>
  <c r="D99" i="1" s="1"/>
  <c r="E98" i="1"/>
  <c r="D98" i="1" s="1"/>
  <c r="E97" i="1"/>
  <c r="D97" i="1" s="1"/>
  <c r="E96" i="1"/>
  <c r="D96" i="1" s="1"/>
  <c r="E95" i="1"/>
  <c r="D95" i="1" s="1"/>
  <c r="E94" i="1"/>
  <c r="D94" i="1" s="1"/>
  <c r="E93" i="1"/>
  <c r="D93" i="1" s="1"/>
  <c r="E92" i="1"/>
  <c r="D92" i="1" s="1"/>
  <c r="E91" i="1"/>
  <c r="D91" i="1" s="1"/>
  <c r="E90" i="1"/>
  <c r="D90" i="1" s="1"/>
  <c r="E89" i="1"/>
  <c r="D89" i="1" s="1"/>
  <c r="E88" i="1"/>
  <c r="D88" i="1" s="1"/>
  <c r="E87" i="1"/>
  <c r="D87" i="1" s="1"/>
  <c r="E86" i="1"/>
  <c r="D86" i="1" s="1"/>
  <c r="E85" i="1"/>
  <c r="D85" i="1" s="1"/>
  <c r="E84" i="1"/>
  <c r="D84" i="1" s="1"/>
  <c r="E83" i="1"/>
  <c r="D83" i="1" s="1"/>
  <c r="E82" i="1"/>
  <c r="D82" i="1" s="1"/>
  <c r="E81" i="1"/>
  <c r="D81" i="1" s="1"/>
  <c r="E80" i="1"/>
  <c r="D80" i="1" s="1"/>
  <c r="E79" i="1"/>
  <c r="D79" i="1" s="1"/>
  <c r="E78" i="1"/>
  <c r="D78" i="1" s="1"/>
  <c r="E77" i="1"/>
  <c r="D77" i="1" s="1"/>
  <c r="E76" i="1"/>
  <c r="D76" i="1" s="1"/>
  <c r="E75" i="1"/>
  <c r="D75" i="1" s="1"/>
  <c r="E74" i="1"/>
  <c r="D74" i="1" s="1"/>
  <c r="E73" i="1"/>
  <c r="D73" i="1" s="1"/>
  <c r="E72" i="1"/>
  <c r="D72" i="1" s="1"/>
  <c r="E71" i="1"/>
  <c r="D71" i="1" s="1"/>
  <c r="E70" i="1"/>
  <c r="D70" i="1" s="1"/>
  <c r="E69" i="1"/>
  <c r="D69" i="1" s="1"/>
  <c r="E68" i="1"/>
  <c r="D68" i="1" s="1"/>
  <c r="E67" i="1"/>
  <c r="D67" i="1" s="1"/>
  <c r="E66" i="1"/>
  <c r="D66" i="1" s="1"/>
  <c r="E65" i="1"/>
  <c r="D65" i="1" s="1"/>
  <c r="E64" i="1"/>
  <c r="D64" i="1" s="1"/>
  <c r="E63" i="1"/>
  <c r="D63" i="1" s="1"/>
  <c r="E62" i="1"/>
  <c r="D62" i="1" s="1"/>
  <c r="E61" i="1"/>
  <c r="D61" i="1" s="1"/>
  <c r="E60" i="1"/>
  <c r="D60" i="1" s="1"/>
  <c r="E59" i="1"/>
  <c r="D59" i="1" s="1"/>
  <c r="E58" i="1"/>
  <c r="D58" i="1" s="1"/>
  <c r="E57" i="1"/>
  <c r="D57" i="1" s="1"/>
  <c r="E56" i="1"/>
  <c r="D56" i="1" s="1"/>
  <c r="E55" i="1"/>
  <c r="D55" i="1" s="1"/>
  <c r="E54" i="1"/>
  <c r="D54" i="1" s="1"/>
  <c r="E53" i="1"/>
  <c r="D53" i="1" s="1"/>
  <c r="E52" i="1"/>
  <c r="D52" i="1" s="1"/>
  <c r="E51" i="1"/>
  <c r="D51" i="1" s="1"/>
  <c r="E50" i="1"/>
  <c r="D50" i="1" s="1"/>
  <c r="E49" i="1"/>
  <c r="D49" i="1" s="1"/>
  <c r="E48" i="1"/>
  <c r="D48" i="1" s="1"/>
  <c r="D47" i="1"/>
  <c r="E46" i="1"/>
  <c r="D46" i="1" s="1"/>
  <c r="E45" i="1"/>
  <c r="D45" i="1" s="1"/>
  <c r="E44" i="1"/>
  <c r="D44" i="1" s="1"/>
  <c r="E43" i="1"/>
  <c r="D43" i="1" s="1"/>
  <c r="E42" i="1"/>
  <c r="D42" i="1" s="1"/>
  <c r="E41" i="1"/>
  <c r="D41" i="1" s="1"/>
  <c r="E40" i="1"/>
  <c r="D40" i="1" s="1"/>
  <c r="E39" i="1"/>
  <c r="D39" i="1" s="1"/>
  <c r="E38" i="1"/>
  <c r="D38" i="1" s="1"/>
  <c r="E37" i="1"/>
  <c r="D37" i="1" s="1"/>
  <c r="E36" i="1"/>
  <c r="D36" i="1" s="1"/>
  <c r="E35" i="1"/>
  <c r="D35" i="1" s="1"/>
  <c r="E34" i="1"/>
  <c r="D34" i="1" s="1"/>
  <c r="E33" i="1"/>
  <c r="D33" i="1" s="1"/>
  <c r="E32" i="1"/>
  <c r="D32" i="1" s="1"/>
  <c r="E31" i="1"/>
  <c r="D31" i="1" s="1"/>
  <c r="E30" i="1"/>
  <c r="D30" i="1" s="1"/>
  <c r="E29" i="1"/>
  <c r="D29" i="1" s="1"/>
  <c r="E28" i="1"/>
  <c r="D28" i="1" s="1"/>
  <c r="E27" i="1"/>
  <c r="D27" i="1" s="1"/>
  <c r="E26" i="1"/>
  <c r="D26" i="1" s="1"/>
  <c r="E25" i="1"/>
  <c r="D25" i="1" s="1"/>
  <c r="E24" i="1"/>
  <c r="D24" i="1" s="1"/>
  <c r="E23" i="1"/>
  <c r="D23" i="1" s="1"/>
  <c r="E22" i="1"/>
  <c r="D22" i="1" s="1"/>
  <c r="E21" i="1"/>
  <c r="D21" i="1" s="1"/>
  <c r="E20" i="1"/>
  <c r="D20" i="1" s="1"/>
  <c r="E19" i="1"/>
  <c r="D19" i="1" s="1"/>
  <c r="E14" i="1"/>
  <c r="D14" i="1" s="1"/>
  <c r="E13" i="1"/>
  <c r="D13" i="1" s="1"/>
  <c r="E12" i="1"/>
  <c r="D12" i="1" s="1"/>
  <c r="E11" i="1"/>
  <c r="D11" i="1" s="1"/>
  <c r="E10" i="1"/>
  <c r="D10" i="1" s="1"/>
  <c r="E9" i="1"/>
  <c r="D9" i="1" s="1"/>
  <c r="E8" i="1"/>
  <c r="D8" i="1" s="1"/>
  <c r="E7" i="1"/>
  <c r="D7" i="1" s="1"/>
  <c r="E6" i="1"/>
  <c r="D6" i="1" s="1"/>
  <c r="D5" i="1"/>
  <c r="E4" i="1"/>
  <c r="D4" i="1" s="1"/>
  <c r="E3" i="1"/>
  <c r="D3" i="1" s="1"/>
  <c r="E2" i="1"/>
  <c r="D2" i="1" s="1"/>
  <c r="E102" i="1"/>
  <c r="D102" i="1" s="1"/>
  <c r="U117" i="1"/>
  <c r="T117" i="1"/>
  <c r="P117" i="1"/>
  <c r="O117" i="1"/>
  <c r="U116" i="1"/>
  <c r="T116" i="1"/>
  <c r="P116" i="1"/>
  <c r="O116" i="1"/>
  <c r="U115" i="1"/>
  <c r="T115" i="1"/>
  <c r="P115" i="1"/>
  <c r="O115" i="1"/>
  <c r="U114" i="1"/>
  <c r="T114" i="1"/>
  <c r="P114" i="1"/>
  <c r="O114" i="1"/>
  <c r="U113" i="1"/>
  <c r="T113" i="1"/>
  <c r="P113" i="1"/>
  <c r="O113" i="1"/>
  <c r="U112" i="1"/>
  <c r="T112" i="1"/>
  <c r="P112" i="1"/>
  <c r="O112" i="1"/>
  <c r="U111" i="1"/>
  <c r="T111" i="1"/>
  <c r="P111" i="1"/>
  <c r="O111" i="1"/>
  <c r="U110" i="1"/>
  <c r="T110" i="1"/>
  <c r="P110" i="1"/>
  <c r="O110" i="1"/>
  <c r="U109" i="1"/>
  <c r="T109" i="1"/>
  <c r="P109" i="1"/>
  <c r="O109" i="1"/>
  <c r="U108" i="1"/>
  <c r="T108" i="1"/>
  <c r="P108" i="1"/>
  <c r="O108" i="1"/>
  <c r="U107" i="1"/>
  <c r="T107" i="1"/>
  <c r="P107" i="1"/>
  <c r="O107" i="1"/>
  <c r="U106" i="1"/>
  <c r="T106" i="1"/>
  <c r="P106" i="1"/>
  <c r="O106" i="1"/>
  <c r="U105" i="1"/>
  <c r="T105" i="1"/>
  <c r="P105" i="1"/>
  <c r="O105" i="1"/>
  <c r="U104" i="1"/>
  <c r="T104" i="1"/>
  <c r="U103" i="1"/>
  <c r="T103" i="1"/>
  <c r="P103" i="1"/>
  <c r="O103" i="1"/>
  <c r="U102" i="1"/>
  <c r="T102" i="1"/>
  <c r="U101" i="1"/>
  <c r="T101" i="1"/>
  <c r="U100" i="1"/>
  <c r="T100" i="1"/>
  <c r="U99" i="1"/>
  <c r="T99" i="1"/>
  <c r="U98" i="1"/>
  <c r="T98" i="1"/>
  <c r="U97" i="1"/>
  <c r="T97" i="1"/>
  <c r="U96" i="1"/>
  <c r="T96" i="1"/>
  <c r="U95" i="1"/>
  <c r="T95" i="1"/>
  <c r="U94" i="1"/>
  <c r="T94" i="1"/>
  <c r="U93" i="1"/>
  <c r="T93" i="1"/>
  <c r="U92" i="1"/>
  <c r="T92" i="1"/>
  <c r="U91" i="1"/>
  <c r="T91" i="1"/>
  <c r="U90" i="1"/>
  <c r="T90" i="1"/>
  <c r="U89" i="1"/>
  <c r="T89" i="1"/>
  <c r="U88" i="1"/>
  <c r="T88" i="1"/>
  <c r="U87" i="1"/>
  <c r="T87" i="1"/>
  <c r="U86" i="1"/>
  <c r="T86" i="1"/>
  <c r="U85" i="1"/>
  <c r="T85" i="1"/>
  <c r="U84" i="1"/>
  <c r="T84" i="1"/>
  <c r="U83" i="1"/>
  <c r="T83" i="1"/>
  <c r="U82" i="1"/>
  <c r="T82" i="1"/>
  <c r="U81" i="1"/>
  <c r="T81" i="1"/>
  <c r="U80" i="1"/>
  <c r="T80" i="1"/>
  <c r="U79" i="1"/>
  <c r="T79" i="1"/>
  <c r="U78" i="1"/>
  <c r="T78" i="1"/>
  <c r="U77" i="1"/>
  <c r="T77" i="1"/>
  <c r="U76" i="1"/>
  <c r="T76" i="1"/>
  <c r="U75" i="1"/>
  <c r="T75" i="1"/>
  <c r="U74" i="1"/>
  <c r="T74" i="1"/>
  <c r="U73" i="1"/>
  <c r="T73" i="1"/>
  <c r="U72" i="1"/>
  <c r="T72" i="1"/>
  <c r="U71" i="1"/>
  <c r="T71" i="1"/>
  <c r="U70" i="1"/>
  <c r="T70" i="1"/>
  <c r="U69" i="1"/>
  <c r="T69" i="1"/>
  <c r="U68" i="1"/>
  <c r="T68" i="1"/>
  <c r="U67" i="1"/>
  <c r="T67" i="1"/>
  <c r="U66" i="1"/>
  <c r="T66" i="1"/>
  <c r="U65" i="1"/>
  <c r="T65" i="1"/>
  <c r="U64" i="1"/>
  <c r="T64" i="1"/>
  <c r="U63" i="1"/>
  <c r="T63" i="1"/>
  <c r="U62" i="1"/>
  <c r="T62" i="1"/>
  <c r="U61" i="1"/>
  <c r="T61" i="1"/>
  <c r="U60" i="1"/>
  <c r="T60" i="1"/>
  <c r="U59" i="1"/>
  <c r="T59" i="1"/>
  <c r="U58" i="1"/>
  <c r="T58" i="1"/>
  <c r="U57" i="1"/>
  <c r="T57" i="1"/>
  <c r="U56" i="1"/>
  <c r="T56" i="1"/>
  <c r="U55" i="1"/>
  <c r="T55" i="1"/>
  <c r="U54" i="1"/>
  <c r="T54" i="1"/>
  <c r="U53" i="1"/>
  <c r="T53" i="1"/>
  <c r="U52" i="1"/>
  <c r="T52" i="1"/>
  <c r="U51" i="1"/>
  <c r="T51" i="1"/>
  <c r="U50" i="1"/>
  <c r="T50" i="1"/>
  <c r="U49" i="1"/>
  <c r="T49" i="1"/>
  <c r="U48" i="1"/>
  <c r="T48" i="1"/>
  <c r="U47" i="1"/>
  <c r="T47" i="1"/>
  <c r="U46" i="1"/>
  <c r="T46" i="1"/>
  <c r="U45" i="1"/>
  <c r="T45" i="1"/>
  <c r="U44" i="1"/>
  <c r="T44" i="1"/>
  <c r="U43" i="1"/>
  <c r="T43" i="1"/>
  <c r="U42" i="1"/>
  <c r="T42" i="1"/>
  <c r="U41" i="1"/>
  <c r="T41" i="1"/>
  <c r="U40" i="1"/>
  <c r="T40" i="1"/>
  <c r="U39" i="1"/>
  <c r="T39" i="1"/>
  <c r="U38" i="1"/>
  <c r="T38" i="1"/>
  <c r="P38" i="1"/>
  <c r="O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P22" i="1"/>
  <c r="U21" i="1"/>
  <c r="T21" i="1"/>
  <c r="U20" i="1"/>
  <c r="T20" i="1"/>
  <c r="U19" i="1"/>
  <c r="T19" i="1"/>
  <c r="U18" i="1"/>
  <c r="T18" i="1"/>
  <c r="U17" i="1"/>
  <c r="T17" i="1"/>
  <c r="U16" i="1"/>
  <c r="T16" i="1"/>
  <c r="U15" i="1"/>
  <c r="T15" i="1"/>
  <c r="U14" i="1"/>
  <c r="T14" i="1"/>
  <c r="U13" i="1"/>
  <c r="T13" i="1"/>
  <c r="U12" i="1"/>
  <c r="T12" i="1"/>
  <c r="U11" i="1"/>
  <c r="T11" i="1"/>
  <c r="U10" i="1"/>
  <c r="T10" i="1"/>
  <c r="U9" i="1"/>
  <c r="T9" i="1"/>
  <c r="U8" i="1"/>
  <c r="T8" i="1"/>
  <c r="U7" i="1"/>
  <c r="T7" i="1"/>
  <c r="U6" i="1"/>
  <c r="T6" i="1"/>
  <c r="U5" i="1"/>
  <c r="T5" i="1"/>
  <c r="U4" i="1"/>
  <c r="T4" i="1"/>
  <c r="U2" i="1"/>
  <c r="T2" i="1"/>
  <c r="U3" i="1"/>
  <c r="T3" i="1"/>
  <c r="E3" i="3"/>
  <c r="O2" i="1" s="1"/>
  <c r="F3" i="3"/>
  <c r="P2" i="1" s="1"/>
  <c r="E4" i="3"/>
  <c r="O47" i="1" s="1"/>
  <c r="F4" i="3"/>
  <c r="P5" i="1" s="1"/>
  <c r="E5" i="3"/>
  <c r="O100" i="1" s="1"/>
  <c r="F5" i="3"/>
  <c r="P40" i="1" s="1"/>
  <c r="E6" i="3"/>
  <c r="O72" i="1" s="1"/>
  <c r="F6" i="3"/>
  <c r="P71" i="1" s="1"/>
  <c r="E7" i="3"/>
  <c r="O74" i="1" s="1"/>
  <c r="F7" i="3"/>
  <c r="P74" i="1" s="1"/>
  <c r="E8" i="3"/>
  <c r="F8" i="3"/>
  <c r="E9" i="3"/>
  <c r="O21" i="1" s="1"/>
  <c r="F9" i="3"/>
  <c r="P21" i="1" s="1"/>
  <c r="E10" i="3"/>
  <c r="M20" i="2" s="1"/>
  <c r="F10" i="3"/>
  <c r="P35" i="1" s="1"/>
  <c r="E11" i="3"/>
  <c r="O37" i="1" s="1"/>
  <c r="F11" i="3"/>
  <c r="P37" i="1" s="1"/>
  <c r="E12" i="3"/>
  <c r="O9" i="1" s="1"/>
  <c r="F12" i="3"/>
  <c r="P10" i="1" s="1"/>
  <c r="E13" i="3"/>
  <c r="O12" i="1" s="1"/>
  <c r="F13" i="3"/>
  <c r="P12" i="1" s="1"/>
  <c r="E14" i="3"/>
  <c r="O26" i="1" s="1"/>
  <c r="F14" i="3"/>
  <c r="P26" i="1" s="1"/>
  <c r="E15" i="3"/>
  <c r="M16" i="2" s="1"/>
  <c r="F15" i="3"/>
  <c r="P18" i="1" s="1"/>
  <c r="E16" i="3"/>
  <c r="M14" i="2" s="1"/>
  <c r="F16" i="3"/>
  <c r="P23" i="1" s="1"/>
  <c r="E17" i="3"/>
  <c r="M12" i="2" s="1"/>
  <c r="F17" i="3"/>
  <c r="P19" i="1" s="1"/>
  <c r="E18" i="3"/>
  <c r="O51" i="1" s="1"/>
  <c r="F18" i="3"/>
  <c r="P49" i="1" s="1"/>
  <c r="E19" i="3"/>
  <c r="O50" i="1" s="1"/>
  <c r="F19" i="3"/>
  <c r="P50" i="1" s="1"/>
  <c r="E20" i="3"/>
  <c r="M2" i="2" s="1"/>
  <c r="F20" i="3"/>
  <c r="P4" i="1" s="1"/>
  <c r="E21" i="3"/>
  <c r="M19" i="2" s="1"/>
  <c r="F21" i="3"/>
  <c r="P33" i="1" s="1"/>
  <c r="E22" i="3"/>
  <c r="F22" i="3"/>
  <c r="E23" i="3"/>
  <c r="F23" i="3"/>
  <c r="E24" i="3"/>
  <c r="F24" i="3"/>
  <c r="E25" i="3"/>
  <c r="F25" i="3"/>
  <c r="E26" i="3"/>
  <c r="F26" i="3"/>
  <c r="E27" i="3"/>
  <c r="F27" i="3"/>
  <c r="E28" i="3"/>
  <c r="F28" i="3"/>
  <c r="E29" i="3"/>
  <c r="F29" i="3"/>
  <c r="E30" i="3"/>
  <c r="F30" i="3"/>
  <c r="E31" i="3"/>
  <c r="F31" i="3"/>
  <c r="E32" i="3"/>
  <c r="O44" i="1" s="1"/>
  <c r="F32" i="3"/>
  <c r="E33" i="3"/>
  <c r="O30" i="1" s="1"/>
  <c r="F33" i="3"/>
  <c r="P32" i="1" s="1"/>
  <c r="E34" i="3"/>
  <c r="M17" i="2" s="1"/>
  <c r="F34" i="3"/>
  <c r="P29" i="1" s="1"/>
  <c r="E35" i="3"/>
  <c r="M8" i="2" s="1"/>
  <c r="F35" i="3"/>
  <c r="E36" i="3"/>
  <c r="M9" i="2" s="1"/>
  <c r="F36" i="3"/>
  <c r="E37" i="3"/>
  <c r="M10" i="2" s="1"/>
  <c r="F37" i="3"/>
  <c r="E38" i="3"/>
  <c r="M11" i="2" s="1"/>
  <c r="F38" i="3"/>
  <c r="E39" i="3"/>
  <c r="M7" i="2" s="1"/>
  <c r="F39" i="3"/>
  <c r="P14" i="1" s="1"/>
  <c r="E40" i="3"/>
  <c r="F40" i="3"/>
  <c r="F2" i="3"/>
  <c r="P92" i="1" s="1"/>
  <c r="E2" i="3"/>
  <c r="O93" i="1" s="1"/>
  <c r="M27" i="2"/>
  <c r="P104" i="1" l="1"/>
  <c r="O104" i="1"/>
  <c r="O34" i="1"/>
  <c r="P34" i="1"/>
  <c r="O35" i="1"/>
  <c r="O55" i="1"/>
  <c r="O49" i="1"/>
  <c r="O19" i="1"/>
  <c r="P94" i="1"/>
  <c r="O13" i="1"/>
  <c r="P13" i="1"/>
  <c r="M3" i="2"/>
  <c r="P51" i="1"/>
  <c r="O36" i="1"/>
  <c r="O46" i="1"/>
  <c r="P55" i="1"/>
  <c r="O81" i="1"/>
  <c r="O70" i="1"/>
  <c r="O14" i="1"/>
  <c r="P36" i="1"/>
  <c r="P41" i="1"/>
  <c r="P46" i="1"/>
  <c r="M21" i="2"/>
  <c r="P9" i="1"/>
  <c r="O20" i="1"/>
  <c r="O32" i="1"/>
  <c r="P84" i="1"/>
  <c r="M23" i="2"/>
  <c r="P20" i="1"/>
  <c r="M26" i="2"/>
  <c r="O42" i="1"/>
  <c r="O80" i="1"/>
  <c r="O45" i="1"/>
  <c r="O95" i="1"/>
  <c r="P80" i="1"/>
  <c r="O76" i="1"/>
  <c r="O66" i="1"/>
  <c r="P66" i="1"/>
  <c r="P90" i="1"/>
  <c r="P42" i="1"/>
  <c r="M4" i="2"/>
  <c r="O10" i="1"/>
  <c r="O24" i="1"/>
  <c r="P30" i="1"/>
  <c r="O62" i="1"/>
  <c r="O77" i="1"/>
  <c r="P86" i="1"/>
  <c r="M5" i="2"/>
  <c r="P62" i="1"/>
  <c r="P77" i="1"/>
  <c r="M6" i="2"/>
  <c r="O6" i="1"/>
  <c r="O52" i="1"/>
  <c r="O101" i="1"/>
  <c r="P6" i="1"/>
  <c r="O31" i="1"/>
  <c r="O39" i="1"/>
  <c r="O48" i="1"/>
  <c r="P58" i="1"/>
  <c r="O73" i="1"/>
  <c r="O87" i="1"/>
  <c r="O97" i="1"/>
  <c r="P101" i="1"/>
  <c r="P16" i="1"/>
  <c r="P31" i="1"/>
  <c r="P44" i="1"/>
  <c r="P48" i="1"/>
  <c r="O83" i="1"/>
  <c r="P87" i="1"/>
  <c r="P97" i="1"/>
  <c r="P100" i="1"/>
  <c r="P72" i="1"/>
  <c r="P3" i="1"/>
  <c r="O69" i="1"/>
  <c r="P83" i="1"/>
  <c r="P93" i="1"/>
  <c r="P76" i="1"/>
  <c r="O7" i="1"/>
  <c r="O59" i="1"/>
  <c r="P69" i="1"/>
  <c r="P79" i="1"/>
  <c r="O102" i="1"/>
  <c r="O90" i="1"/>
  <c r="P59" i="1"/>
  <c r="O98" i="1"/>
  <c r="O17" i="1"/>
  <c r="P27" i="1"/>
  <c r="M25" i="2"/>
  <c r="O41" i="1"/>
  <c r="P45" i="1"/>
  <c r="P65" i="1"/>
  <c r="O84" i="1"/>
  <c r="O94" i="1"/>
  <c r="P98" i="1"/>
  <c r="O91" i="1"/>
  <c r="P56" i="1"/>
  <c r="P70" i="1"/>
  <c r="P102" i="1"/>
  <c r="P73" i="1"/>
  <c r="O56" i="1"/>
  <c r="P28" i="1"/>
  <c r="O4" i="1"/>
  <c r="O25" i="1"/>
  <c r="P17" i="1"/>
  <c r="P24" i="1"/>
  <c r="O63" i="1"/>
  <c r="P7" i="1"/>
  <c r="O11" i="1"/>
  <c r="O67" i="1"/>
  <c r="O88" i="1"/>
  <c r="P39" i="1"/>
  <c r="P53" i="1"/>
  <c r="P81" i="1"/>
  <c r="P88" i="1"/>
  <c r="P95" i="1"/>
  <c r="O57" i="1"/>
  <c r="O78" i="1"/>
  <c r="O85" i="1"/>
  <c r="O92" i="1"/>
  <c r="O99" i="1"/>
  <c r="P8" i="1"/>
  <c r="P15" i="1"/>
  <c r="P43" i="1"/>
  <c r="P57" i="1"/>
  <c r="P64" i="1"/>
  <c r="P85" i="1"/>
  <c r="O5" i="1"/>
  <c r="O54" i="1"/>
  <c r="O61" i="1"/>
  <c r="O75" i="1"/>
  <c r="O82" i="1"/>
  <c r="O89" i="1"/>
  <c r="O96" i="1"/>
  <c r="P47" i="1"/>
  <c r="P54" i="1"/>
  <c r="P61" i="1"/>
  <c r="P68" i="1"/>
  <c r="P75" i="1"/>
  <c r="P82" i="1"/>
  <c r="P89" i="1"/>
  <c r="P96" i="1"/>
  <c r="P52" i="1"/>
  <c r="O28" i="1"/>
  <c r="P63" i="1"/>
  <c r="P91" i="1"/>
  <c r="O18" i="1"/>
  <c r="O53" i="1"/>
  <c r="O60" i="1"/>
  <c r="P11" i="1"/>
  <c r="P25" i="1"/>
  <c r="P60" i="1"/>
  <c r="P67" i="1"/>
  <c r="M15" i="2"/>
  <c r="O8" i="1"/>
  <c r="O15" i="1"/>
  <c r="O22" i="1"/>
  <c r="O29" i="1"/>
  <c r="O43" i="1"/>
  <c r="O64" i="1"/>
  <c r="O71" i="1"/>
  <c r="P78" i="1"/>
  <c r="P99" i="1"/>
  <c r="M18" i="2"/>
  <c r="O33" i="1"/>
  <c r="O40" i="1"/>
  <c r="O68" i="1"/>
  <c r="O3" i="1"/>
  <c r="O16" i="1"/>
  <c r="O23" i="1"/>
  <c r="O58" i="1"/>
  <c r="O65" i="1"/>
  <c r="O79" i="1"/>
  <c r="O86" i="1"/>
  <c r="O27" i="1"/>
  <c r="M22" i="2"/>
  <c r="M24" i="2"/>
  <c r="M13" i="2"/>
</calcChain>
</file>

<file path=xl/sharedStrings.xml><?xml version="1.0" encoding="utf-8"?>
<sst xmlns="http://schemas.openxmlformats.org/spreadsheetml/2006/main" count="2149" uniqueCount="251">
  <si>
    <t>name_dt</t>
  </si>
  <si>
    <t>units</t>
  </si>
  <si>
    <t>start_date</t>
  </si>
  <si>
    <t>end_date</t>
  </si>
  <si>
    <t>horizontal_id</t>
  </si>
  <si>
    <t>vertical_id</t>
  </si>
  <si>
    <t>replicate_id</t>
  </si>
  <si>
    <t>diff_ref_max</t>
  </si>
  <si>
    <t>sensor_make</t>
  </si>
  <si>
    <t>sensor_model</t>
  </si>
  <si>
    <t>DATECT</t>
  </si>
  <si>
    <t>NA</t>
  </si>
  <si>
    <t>TS</t>
  </si>
  <si>
    <t>Soil temperature</t>
  </si>
  <si>
    <t>degC</t>
  </si>
  <si>
    <t>Campbell</t>
  </si>
  <si>
    <t>CS-101</t>
  </si>
  <si>
    <t>SWC</t>
  </si>
  <si>
    <t>Soil water content</t>
  </si>
  <si>
    <t>%</t>
  </si>
  <si>
    <t>G</t>
  </si>
  <si>
    <t>Soil heat flux</t>
  </si>
  <si>
    <t>W m-2</t>
  </si>
  <si>
    <t>WTD</t>
  </si>
  <si>
    <t>Water table depth</t>
  </si>
  <si>
    <t>m</t>
  </si>
  <si>
    <t>WTD_4_1_1</t>
  </si>
  <si>
    <t>PA_4_1_1</t>
  </si>
  <si>
    <t>PA</t>
  </si>
  <si>
    <t>Atmospheric pressure</t>
  </si>
  <si>
    <t>kPa</t>
  </si>
  <si>
    <t>SW_IN</t>
  </si>
  <si>
    <t>ShortWave incoming radiation</t>
  </si>
  <si>
    <t>SW_OUT</t>
  </si>
  <si>
    <t>ShortWave outgoing radiation</t>
  </si>
  <si>
    <t>LW_IN</t>
  </si>
  <si>
    <t>LongWave incoming radiation</t>
  </si>
  <si>
    <t>LW_OUT</t>
  </si>
  <si>
    <t>LongWave outgoing radiation</t>
  </si>
  <si>
    <t>PPFD_IN_4_1_1</t>
  </si>
  <si>
    <t>PPFD_IN</t>
  </si>
  <si>
    <t>Photosynthetic photon flux density incoming</t>
  </si>
  <si>
    <t>micromol m-2 s-1</t>
  </si>
  <si>
    <t>PPFD_OUT</t>
  </si>
  <si>
    <t>Photosynthetic photon flux density outgoing</t>
  </si>
  <si>
    <t>PPFD_DIF</t>
  </si>
  <si>
    <t>Photosynthetic photon flux density diffuse</t>
  </si>
  <si>
    <t>P_12_1_1</t>
  </si>
  <si>
    <t>P</t>
  </si>
  <si>
    <t>Precipitation</t>
  </si>
  <si>
    <t>mm/30 mins</t>
  </si>
  <si>
    <t>WS</t>
  </si>
  <si>
    <t>Wind speed</t>
  </si>
  <si>
    <t>m s-1</t>
  </si>
  <si>
    <t>WD</t>
  </si>
  <si>
    <t>Wind direction</t>
  </si>
  <si>
    <t>degrees</t>
  </si>
  <si>
    <t>D_SNOW</t>
  </si>
  <si>
    <t>Snow depth</t>
  </si>
  <si>
    <t>cm</t>
  </si>
  <si>
    <t>Net radiation</t>
  </si>
  <si>
    <t>TS_4_1_1</t>
  </si>
  <si>
    <t>TS_4_2_1</t>
  </si>
  <si>
    <t>TS_4_3_1</t>
  </si>
  <si>
    <t>TS_4_4_1</t>
  </si>
  <si>
    <t>G_4_1_1</t>
  </si>
  <si>
    <t>G_4_1_2</t>
  </si>
  <si>
    <t>TA</t>
  </si>
  <si>
    <t>Air temperature</t>
  </si>
  <si>
    <t>RH</t>
  </si>
  <si>
    <t>Relative humidity</t>
  </si>
  <si>
    <t>RG_4_1_0</t>
  </si>
  <si>
    <t>Total global radiation</t>
  </si>
  <si>
    <t>NDVI_649IN_5_1_1</t>
  </si>
  <si>
    <t>Photosynthetic photon flux density incoming @649 nm</t>
  </si>
  <si>
    <t>NDVI_649OUT_5_1_1</t>
  </si>
  <si>
    <t>Photosynthetic photon flux density reflected @649 nm</t>
  </si>
  <si>
    <t>NDVI_797IN_5_1_1</t>
  </si>
  <si>
    <t>Photosynthetic photon flux density incoming @797 nm</t>
  </si>
  <si>
    <t>NDVI_797OUT_5_1_1</t>
  </si>
  <si>
    <t>Photosynthetic photon flux density reflected @797 nm</t>
  </si>
  <si>
    <t>LWS_4_1_1</t>
  </si>
  <si>
    <t>Leaf Wetness</t>
  </si>
  <si>
    <t>dimensionless</t>
  </si>
  <si>
    <t>LWS_4_1_2</t>
  </si>
  <si>
    <t>TIMESTAMP</t>
  </si>
  <si>
    <t>timestamp</t>
  </si>
  <si>
    <t>time_char_format</t>
  </si>
  <si>
    <t>%Y%m%d%H%M%S</t>
  </si>
  <si>
    <t>type</t>
  </si>
  <si>
    <t>height</t>
  </si>
  <si>
    <t>time</t>
  </si>
  <si>
    <t>energy flux</t>
  </si>
  <si>
    <t>arbitrary</t>
  </si>
  <si>
    <t>pressure</t>
  </si>
  <si>
    <t>humidity</t>
  </si>
  <si>
    <t>soil moisture</t>
  </si>
  <si>
    <t>temperature</t>
  </si>
  <si>
    <t>wind speed</t>
  </si>
  <si>
    <t>wind direction</t>
  </si>
  <si>
    <t>RN</t>
  </si>
  <si>
    <t>precipitation</t>
  </si>
  <si>
    <t>%Y-%m-%d %H:%M:%S</t>
  </si>
  <si>
    <t>site</t>
  </si>
  <si>
    <t>UK-AMO</t>
  </si>
  <si>
    <t>UK-EBU</t>
  </si>
  <si>
    <t>UK-WHM</t>
  </si>
  <si>
    <t>RG</t>
  </si>
  <si>
    <t>range_min</t>
  </si>
  <si>
    <t>range_max</t>
  </si>
  <si>
    <t>long_name_icos</t>
  </si>
  <si>
    <t>units_icos</t>
  </si>
  <si>
    <t>long_name_cf</t>
  </si>
  <si>
    <t>units_cf</t>
  </si>
  <si>
    <t>long_name_era5</t>
  </si>
  <si>
    <t>units_era5</t>
  </si>
  <si>
    <t>surface_snow_thickness</t>
  </si>
  <si>
    <t>Surface snow refers to the snow on the solid ground or on surface ice cover, but excludes, for example, falling snowflakes and snow on plants. "Thickness" means the vertical extent of a layer. Unless indicated in the cell_methods attribute, a quantity is assumed to apply to the whole area of each horizontal grid box. Previously, the qualifier where_type was used to specify that the quantity applies only to the part of the grid box of the named type. Names containing the where_type qualifier are deprecated and newly created data should use the cell_methods attribute to indicate the horizontal area to which the quantity applies.</t>
  </si>
  <si>
    <t>sd</t>
  </si>
  <si>
    <t>_x000D_
This parameter is the depth of snow from the snow-covered area of a grid box._x000D_
_x000D_
Its units are metres of water equivalent, so it is the depth the water would have if the snow melted and was spread evenly over the whole grid box. The ECMWF Integrated Forecast System represents snow as a single additional layer over the uppermost soil level. The snow may cover all or part of the grid box._x000D_
_x000D_
See further information. [NOTE: See 228141 for the equivalent parameter in "kg m-2"]</t>
  </si>
  <si>
    <t>m of water equivalent</t>
  </si>
  <si>
    <t>timestamp in POSIX format</t>
  </si>
  <si>
    <t>W m^2</t>
  </si>
  <si>
    <t>downward_heat_flux_at_ground_level_in_soil</t>
  </si>
  <si>
    <t>ground_level means the land surface (beneath the snow and surface water, if any). 'Downward' indicates a vector component which is positive when directed downward (negative upward). In accordance with common usage in geophysical disciplines, 'flux' implies per unit area, called 'flux density' in physics.</t>
  </si>
  <si>
    <t>W / m^2</t>
  </si>
  <si>
    <t>Incoming Longwave radiation (in the range from 4 to 50 micron)</t>
  </si>
  <si>
    <t>surface_downwelling_longwave_flux_in_air</t>
  </si>
  <si>
    <t>The surface called "surface" means the lower boundary of the atmosphere. Downwelling radiation is radiation from above. It does not mean "net downward". The sign convention is that "upwelling" is positive upwards and "downwelling" is positive downwards. The term "longwave" means longwave radiation.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</si>
  <si>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strd</t>
  </si>
  <si>
    <t>This parameter is the amount of thermal (also known as longwave or terrestrial) radiation emitted by the atmosphere and clouds that reaches a horizontal plane at the surface of the Earth._x000D_
_x000D_
The surface of the Earth emits thermal radiation, some of which is absorbed by the atmosphere and clouds. The atmosphere and clouds likewise emit thermal radiation in all directions, some of which reaches the surface (represented by this parameter). See further documentation._x000D_
_x000D_
This parameter is accumulated over a particular time period which depends on the data extracted. The units are joules per square metre (J m-2). To convert to watts per square metre (W m-2), the accumulated values should be divided by the accumulation period expressed in seconds. The ECMWF convention for vertical fluxes is positive downwards.</t>
  </si>
  <si>
    <t>J m-2</t>
  </si>
  <si>
    <t>Outgoing Longwave radiation (in the range from 4 to 50 micron)</t>
  </si>
  <si>
    <t>surface_upwelling_longwave_flux_in_air</t>
  </si>
  <si>
    <t>The surface called "surface" means the lower boundary of the atmosphere. The term "longwave" means longwave radiation. Upwelling radiation is radiation from below. It does not mean "net upward". The sign convention is that "upwelling" is positive upwards and "downwelling" is positive downwards.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</si>
  <si>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LWS</t>
  </si>
  <si>
    <t>Leaf wetness</t>
  </si>
  <si>
    <t>NDVI_649IN</t>
  </si>
  <si>
    <t>micromol / m^2 / s</t>
  </si>
  <si>
    <t>Normalized Difference Vegetation Index</t>
  </si>
  <si>
    <t>NDVI_649OUT</t>
  </si>
  <si>
    <t>NDVI_797IN</t>
  </si>
  <si>
    <t>NDVI_797OUT</t>
  </si>
  <si>
    <t>tp</t>
  </si>
  <si>
    <t>_x000D_
This parameter is the accumulated liquid and frozen water, comprising rain and snow, that falls to the Earth's surface. It is the sum of large-scale precipitation and convective precipitation. Large-scale precipitation is generated by the cloud scheme in the ECMWF Integrated Forecasting System (IFS). The cloud scheme represents the formation and dissipation of clouds and large-scale precipitation due to changes in atmospheric quantities (such as pressure, temperature and moisture) predicted directly by the IFS at spatial scales of the grid box or larger. Convective precipitation is generated by the convection scheme in the IFS, which represents convection at spatial scales smaller than the grid box. See further information. This parameter does not include fog, dew or the precipitation that evaporates in the atmosphere before it lands at the surface of the Earth._x000D_
_x000D_
This parameter is the total amount of water accumulated over a particular time period which depends on the data extracted. The units of this parameter are depth in metres of water equivalent. It is the depth the water would have if it were spread evenly over the grid box._x000D_
_x000D_
Care should be taken when comparing model parameters with observations, because observations are often local to a particular point in space and time, rather than representing averages over a model grid box. [NOTE: See 228228 for the equivalent parameter in "kg m-2"]</t>
  </si>
  <si>
    <t>sp</t>
  </si>
  <si>
    <t>This parameter is the pressure (force per unit area) of the atmosphere on the surface of land, sea and in-land water._x000D_
_x000D_
It is a measure of the weight of all the air in a column vertically above the area of the Earth's surface represented at a fixed point._x000D_
_x000D_
Surface pressure is often used in combination with temperature to calculate air density._x000D_
_x000D_
The strong variation of pressure with altitude makes it difficult to see the low and high pressure systems over mountainous areas, so mean sea level pressure, rather than surface pressure, is normally used for this purpose._x000D_
_x000D_
The units of this parameter are Pascals (Pa). Surface pressure is often measured in hPa and sometimes is presented in the old units of millibars, mb (1 hPa = 1 mb= 100 Pa).</t>
  </si>
  <si>
    <t>Pa</t>
  </si>
  <si>
    <t>Diffuse incoming PPFD (400-700 nm)</t>
  </si>
  <si>
    <t>surface_diffuse_downwelling_photosynthetic_radiative_flux_in_air</t>
  </si>
  <si>
    <t>The surface called "surface" means the lower boundary of the atmosphere. Downwelling radiation is radiation from above. It does not mean "net downward". The sign convention is that "upwelling" is positive upwards and "downwelling" is positive downwards. "Photosynthetic" radiation is the part of the spectrum which is used in photosynthesis e.g. 400-700 nm. "Diffuse" radiation is radiation that has been scattered by gas molecules in the atmosphere and by particles such as cloud droplets and aerosols. The range of wavelengths could be specified precisely by the bounds of a coordinate of radiation_wavelength.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</si>
  <si>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Photosynthetic Photon Flux Density (400-700 nm)</t>
  </si>
  <si>
    <t>Reflected PPFD (400-700 nm)</t>
  </si>
  <si>
    <t>surface_upwelling_photosynthetic_photon_flux_in_air</t>
  </si>
  <si>
    <t>The surface called "surface" means the lower boundary of the atmosphere. Upwelling radiation is radiation from below. It does not mean "net upward". The sign convention is that "upwelling" is positive upwards and "downwelling" is positive downwards. "Photosynthetic" radiation is the part of the spectrum which is used in photosynthesis e.g. 400-700 nm. The range of wavelengths could be specified precisely by the bounds of a coordinate of radiation_wavelength. A photon flux is specified in terms of numbers of photons expressed in moles. In accordance with common usage in geophysical disciplines, "flux" implies per unit area, called "flux density" in physics.</t>
  </si>
  <si>
    <t>mol m-2 s-1</t>
  </si>
  <si>
    <t>ssrd</t>
  </si>
  <si>
    <t>This parameter is the amount of solar radiation (also known as shortwave radiation) that reaches a horizontal plane at the surface of the Earth. This parameter comprises both direct and diffuse solar radiation._x000D_
_x000D_
Radiation from the Sun (solar, or shortwave, radiation) is partly reflected back to space by clouds and particles in the atmosphere (aerosols) and some of it is absorbed. The rest is incident on the Earth's surface (represented by this parameter). See further documentation._x000D_
_x000D_
To a reasonably good approximation, this parameter is the model equivalent of what would be measured by a pyranometer (an instrument used for measuring solar radiation) at the surface. However, care should be taken when comparing model parameters with observations, because observations are often local to a particular point in space and time, rather than representing averages over a model grid box._x000D_
_x000D_
This parameter is accumulated over a particular time period which depends on the data extracted. The units are joules per square metre (J m-2). To convert to watts per square metre (W m-2), the accumulated values should be divided by the accumulation period expressed in seconds. The ECMWF convention for vertical fluxes is positive downwards.</t>
  </si>
  <si>
    <t>percent</t>
  </si>
  <si>
    <t>rh</t>
  </si>
  <si>
    <t>_x000D_
This parameter is the water vapour pressure as a percentage of the value at which the air becomes saturated (the point at which water vapour begins to condense into liquid water or deposition into ice)._x000D_
_x000D_
For temperatures over 0degree_C (273.15 K) it is calculated for saturation over water. At temperatures below -23degree_C it is calculated for saturation over ice. Between -23degree_C and 0degree_C this parameter is calculated by interpolating between the ice and water values using a quadratic function.</t>
  </si>
  <si>
    <t>Net radiation (including SW and LW components)</t>
  </si>
  <si>
    <t>This parameter is the amount of solar radiation (also known as shortwave radiation) that reaches a horizontal plane at the surface of the Earth (both direct and diffuse) minus the amount reflected by the Earth's surface (which is governed by the albedo)._x000D_
_x000D_
Radiation from the Sun (solar, or shortwave, radiation) is partly reflected back to space by clouds and particles in the atmosphere (aerosols) and some of it is absorbed. The remainder is incident on the Earth's surface, where some of it is reflected. See further documentation._x000D_
_x000D_
This parameter is accumulated over a particular time period which depends on the data extracted. The units are joules per square metre (J m-2). To convert to watts per square metre (W m-2), the accumulated values should be divided by the accumulation period expressed in seconds. The ECMWF convention for vertical fluxes is positive downwards.</t>
  </si>
  <si>
    <t>Incoming Shortwave radiation (in the range from 0.3 to 4.5 micron)</t>
  </si>
  <si>
    <t>surface_downwelling_shortwave_flux_in_air</t>
  </si>
  <si>
    <t>The surface called "surface" means the lower boundary of the atmosphere. Downwelling radiation is radiation from above. It does not mean "net downward". The sign convention is that "upwelling" is positive upwards and "downwelling" is positive downwards. The term "shortwave" means shortwave radiation. Surface downwelling shortwave is the sum of direct and diffuse solar radiation incident on the surface, and is sometimes called "global radiation".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</si>
  <si>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Outgoing Shortwave radiation (in the range from 0.3 to 4.5 micron)</t>
  </si>
  <si>
    <t>surface_upwelling_shortwave_flux_in_air</t>
  </si>
  <si>
    <t>The surface called "surface" means the lower boundary of the atmosphere. The term "shortwave" means shortwave radiation. Upwelling radiation is radiation from below. It does not mean "net upward". The sign convention is that "upwelling" is positive upwards and "downwelling" is positive downwards.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</si>
  <si>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volume_fraction_of_condensed_water_in_soil</t>
  </si>
  <si>
    <t>"Volume fraction" is used in the construction "volume_fraction_of_X_in_Y", where X is a material constituent of Y. It is evaluated as the volume of X divided by the volume of Y (including X). It may be expressed as a fraction, a percentage, or any other dimensionless representation of a fraction. The phrase "condensed_water" means liquid and ice.</t>
  </si>
  <si>
    <t>swvl1</t>
  </si>
  <si>
    <t>This parameter is the volume of water in soil layer 1 (0 - 7cm, the surface is at 0cm)._x000D_
_x000D_
The ECMWF Integrated Forecasting System model has a four-layer representation of soil:_x000D_
Layer 1: 0 - 7cm_x000D_
Layer 2: 7 - 28cm_x000D_
Layer 3: 28 - 100cm_x000D_
Layer 4: 100 - 289cm_x000D_
_x000D_
The volumetric soil water is associated with the soil texture (or classification), soil depth, and the underlying groundwater level.</t>
  </si>
  <si>
    <t>m3 m-3</t>
  </si>
  <si>
    <t>degree_C</t>
  </si>
  <si>
    <t>_x000D_
This parameter is the temperature of air at 2m above the surface of land, sea or in-land waters._x000D_
_x000D_
2m temperature is calculated by interpolating between the lowest model level and the Earth's surface, taking account of the atmospheric conditions. See further information ._x000D_
_x000D_
This parameter has units of kelvin (K). Temperature measured in kelvin can be converted to degrees Celsius (degree_C) by subtracting 273.15._x000D_
_x000D_
Please note that the encodings listed here for s2s &amp; uerra (which includes encodings for carra/cerra) include entries for Mean 2 metre temperature. The specific encoding for Mean 2 metre temperature can be found in 228004.</t>
  </si>
  <si>
    <t>K</t>
  </si>
  <si>
    <t>soil_temperature</t>
  </si>
  <si>
    <t>Soil temperature is the bulk temperature of the soil, not the surface (skin) temperature. "Soil" means the near-surface layer where plants sink their roots. For subsurface temperatures that extend beneath the soil layer or in areas where there is no surface soil layer, the standard name temperature_in_ground should be used. It is strongly recommended that a variable with this standard name should have a units_metadata attribute, with one of the values "on-scale" or "difference", whichever is appropriate for the data, because it is essential to know whether the temperature is on-scale (meaning relative to the origin of the scale indicated by the units) or refers to temperature differences (implying that the origin of the temperature scale is irrelevant), in order to convert the units correctly (cf. https://cfconventions.org/cf-conventions/cf-conventions.html#temperature-units).</t>
  </si>
  <si>
    <t>stl1</t>
  </si>
  <si>
    <t>This parameter is the temperature of the soil at level 1 (in the middle of layer 1)._x000D_
_x000D_
The ECMWF Integrated Forecasting System (IFS) has a four-layer representation of soil, where the surface is at 0cm:_x000D_
_x000D_
Layer 1: 0 - 7cm_x000D_
Layer 2: 7 - 28cm_x000D_
Layer 3: 28 - 100cm_x000D_
Layer 4: 100 - 289cm_x000D_
_x000D_
Soil temperature is set at the middle of each layer, and heat transfer is calculated at the interfaces between them. It is assumed that there is no heat transfer out of the bottom of the lowest layer._x000D_
_x000D_
This parameter has units of Kelvin (K). Temperature measured in Kelvin can be converted to degrees Celsius (degree_C) by subtracting 273.15.</t>
  </si>
  <si>
    <t>degree</t>
  </si>
  <si>
    <t>This parameter is the horizontal speed of the wind, or movement of air, at a height of ten metres above the surface of the Earth. The units of this parameter are metres per second._x000D_
_x000D_
Care should be taken when comparing this parameter with observations, because wind observations vary on small space and time scales and are affected by the local terrain, vegetation and buildings that are represented only on average in the ECMWF Integrated Forecasting System._x000D_
_x000D_
The eastward and northward components of the horizontal wind at 10m are also available as parameters.</t>
  </si>
  <si>
    <t>water_table_depth</t>
  </si>
  <si>
    <t>Depth is the vertical distance below the surface. The water table is the surface below which the soil is saturated with water such that all pore spaces are filled.</t>
  </si>
  <si>
    <t>variable</t>
  </si>
  <si>
    <t xml:space="preserve">Soil temperature </t>
  </si>
  <si>
    <t xml:space="preserve">Air pressure  </t>
  </si>
  <si>
    <t>ssru</t>
  </si>
  <si>
    <t>stru</t>
  </si>
  <si>
    <t>fdif</t>
  </si>
  <si>
    <t>ws</t>
  </si>
  <si>
    <t>WS_6_1_1</t>
  </si>
  <si>
    <t>wd</t>
  </si>
  <si>
    <t>WD_6_1_1</t>
  </si>
  <si>
    <t>rn</t>
  </si>
  <si>
    <t>RN_5_1_1</t>
  </si>
  <si>
    <t>SWC_4_1_1</t>
  </si>
  <si>
    <t>SWC_4_2_1</t>
  </si>
  <si>
    <t>SWC_4_3_1</t>
  </si>
  <si>
    <t>SWC_4_4_1</t>
  </si>
  <si>
    <t>t2m</t>
  </si>
  <si>
    <t>TA_4_1_1</t>
  </si>
  <si>
    <t xml:space="preserve">Relative  humidity  </t>
  </si>
  <si>
    <t>RH_4_1_1</t>
  </si>
  <si>
    <t>Time</t>
  </si>
  <si>
    <t>μmol / m^2 / s</t>
  </si>
  <si>
    <t>m / s</t>
  </si>
  <si>
    <t>mm</t>
  </si>
  <si>
    <t>imputation_method</t>
  </si>
  <si>
    <t>era5</t>
  </si>
  <si>
    <t>zero</t>
  </si>
  <si>
    <t>nightzero</t>
  </si>
  <si>
    <t>Timestamp</t>
  </si>
  <si>
    <t>Rain</t>
  </si>
  <si>
    <t>AirT</t>
  </si>
  <si>
    <t>PAR</t>
  </si>
  <si>
    <t>Total_solar</t>
  </si>
  <si>
    <t>Net_rad</t>
  </si>
  <si>
    <t>Soil_VWC</t>
  </si>
  <si>
    <t>Soil_T1</t>
  </si>
  <si>
    <t>Soil_T2</t>
  </si>
  <si>
    <t>Shortwave incoming radiation</t>
  </si>
  <si>
    <t>Shortwave outgoing radiation</t>
  </si>
  <si>
    <t>%d/%m/%Y %H:%M</t>
  </si>
  <si>
    <t>name_local</t>
  </si>
  <si>
    <t>name_icos</t>
  </si>
  <si>
    <t>name_era5</t>
  </si>
  <si>
    <t>name_cf</t>
  </si>
  <si>
    <t>long_name_local</t>
  </si>
  <si>
    <t>units_local</t>
  </si>
  <si>
    <t>RH_EB_1_1_1_Avg</t>
  </si>
  <si>
    <t>TA_EB_1_1_1_Avg</t>
  </si>
  <si>
    <t>LWS_EB_7_1_1_Avg</t>
  </si>
  <si>
    <t>PA_EB_1_1_1_Avg</t>
  </si>
  <si>
    <t>P_EB_1_1_1_Tot</t>
  </si>
  <si>
    <t>RN_EB_7_1_1</t>
  </si>
  <si>
    <t>SW_IN_EB_1_1_1</t>
  </si>
  <si>
    <t>PPFD_IN_EB_1_1_1</t>
  </si>
  <si>
    <t>SWC_EB_5_1_1</t>
  </si>
  <si>
    <t>SWC_EB_5_2_1</t>
  </si>
  <si>
    <t>SWC_EB_5_3_1</t>
  </si>
  <si>
    <t>SWC_EB_5_4_1</t>
  </si>
  <si>
    <t>TS_EB_5_1_1</t>
  </si>
  <si>
    <t>TS_EB_5_2_1</t>
  </si>
  <si>
    <t>TS_EB_5_3_1</t>
  </si>
  <si>
    <t>TS_EB_5_4_1</t>
  </si>
  <si>
    <t>G_EB_5_1_1</t>
  </si>
  <si>
    <t>G_EB_5_2_1</t>
  </si>
  <si>
    <t>WTD_EB_5_1_1</t>
  </si>
  <si>
    <t>%Y-%m-%dT%H:%M:%SZ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</si>
</sst>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quotePrefix="1" applyAlignment="1">
      <alignment horizontal="left"/>
    </xf>
    <xf numFmtId="0" fontId="0" fillId="0" borderId="0" xfId="0" applyAlignment="1">
      <alignment wrapText="1"/>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1CE1-A4D4-4502-917D-92507EE2F7EE}">
  <dimension ref="A1:X139"/>
  <sheetViews>
    <sheetView tabSelected="1" workbookViewId="0">
      <pane ySplit="1" topLeftCell="A74" activePane="bottomLeft" state="frozen"/>
      <selection pane="bottomLeft" activeCell="A120" sqref="A120:XFD120"/>
    </sheetView>
  </sheetViews>
  <sheetFormatPr defaultRowHeight="14.5" x14ac:dyDescent="0.35"/>
  <cols>
    <col min="2" max="3" width="15.36328125" bestFit="1" customWidth="1"/>
    <col min="4" max="5" width="17.90625" bestFit="1" customWidth="1"/>
    <col min="6" max="6" width="26.81640625" customWidth="1"/>
    <col min="7" max="7" width="8.90625" customWidth="1"/>
    <col min="8" max="8" width="11.1796875" customWidth="1"/>
    <col min="9" max="9" width="8.90625" customWidth="1"/>
    <col min="17" max="17" width="10.1796875" customWidth="1"/>
    <col min="22" max="22" width="13.54296875" bestFit="1" customWidth="1"/>
    <col min="23" max="23" width="26.81640625" customWidth="1"/>
  </cols>
  <sheetData>
    <row r="1" spans="1:24" x14ac:dyDescent="0.35">
      <c r="A1" t="s">
        <v>103</v>
      </c>
      <c r="B1" t="s">
        <v>2</v>
      </c>
      <c r="C1" t="s">
        <v>3</v>
      </c>
      <c r="D1" t="s">
        <v>0</v>
      </c>
      <c r="E1" s="2" t="s">
        <v>225</v>
      </c>
      <c r="F1" s="2" t="s">
        <v>229</v>
      </c>
      <c r="G1" s="2" t="s">
        <v>230</v>
      </c>
      <c r="H1" t="s">
        <v>89</v>
      </c>
      <c r="I1" t="s">
        <v>87</v>
      </c>
      <c r="J1" t="s">
        <v>4</v>
      </c>
      <c r="K1" t="s">
        <v>5</v>
      </c>
      <c r="L1" t="s">
        <v>6</v>
      </c>
      <c r="M1" t="s">
        <v>8</v>
      </c>
      <c r="N1" t="s">
        <v>9</v>
      </c>
      <c r="O1" t="s">
        <v>108</v>
      </c>
      <c r="P1" t="s">
        <v>109</v>
      </c>
      <c r="Q1" t="s">
        <v>7</v>
      </c>
      <c r="R1" t="s">
        <v>209</v>
      </c>
      <c r="S1" s="2" t="s">
        <v>227</v>
      </c>
      <c r="T1" s="2" t="s">
        <v>114</v>
      </c>
      <c r="U1" s="2" t="s">
        <v>115</v>
      </c>
      <c r="V1" s="2" t="s">
        <v>226</v>
      </c>
      <c r="W1" s="2" t="s">
        <v>110</v>
      </c>
      <c r="X1" s="2" t="s">
        <v>111</v>
      </c>
    </row>
    <row r="2" spans="1:24" x14ac:dyDescent="0.35">
      <c r="A2" t="s">
        <v>104</v>
      </c>
      <c r="B2" s="1">
        <v>34700</v>
      </c>
      <c r="C2" s="1">
        <v>47484</v>
      </c>
      <c r="D2" s="2" t="str">
        <f t="shared" ref="D2:D65" si="0">E2</f>
        <v>site</v>
      </c>
      <c r="E2" s="2" t="str">
        <f t="shared" ref="E2:E65" si="1">IF(J2="NA",V2,V2&amp;"_"&amp;J2&amp;"_"&amp;K2&amp;"_"&amp;L2)</f>
        <v>site</v>
      </c>
      <c r="F2" t="s">
        <v>103</v>
      </c>
      <c r="H2" s="2" t="s">
        <v>103</v>
      </c>
      <c r="I2" t="s">
        <v>11</v>
      </c>
      <c r="J2" t="s">
        <v>11</v>
      </c>
      <c r="K2" t="s">
        <v>11</v>
      </c>
      <c r="L2" t="s">
        <v>11</v>
      </c>
      <c r="M2" t="s">
        <v>11</v>
      </c>
      <c r="N2" t="s">
        <v>11</v>
      </c>
      <c r="O2" t="e">
        <f>VLOOKUP($V2,naming_lookup!$C$1:$H$40,3,FALSE)</f>
        <v>#N/A</v>
      </c>
      <c r="P2" t="e">
        <f>VLOOKUP($V2,naming_lookup!$C$1:$H$40,4,FALSE)</f>
        <v>#N/A</v>
      </c>
      <c r="Q2" t="s">
        <v>11</v>
      </c>
      <c r="R2" s="2" t="s">
        <v>11</v>
      </c>
      <c r="S2" t="str">
        <f>VLOOKUP($V2,naming_lookup!$C$1:$H$40,5,FALSE)</f>
        <v>site</v>
      </c>
      <c r="T2" t="str">
        <f>VLOOKUP($V2,naming_lookup!$C$1:$H$40,5,FALSE)</f>
        <v>site</v>
      </c>
      <c r="U2" t="str">
        <f>VLOOKUP($V2,naming_lookup!$C$1:$H$40,6,FALSE)</f>
        <v>NA</v>
      </c>
      <c r="V2" t="s">
        <v>103</v>
      </c>
      <c r="W2" t="s">
        <v>103</v>
      </c>
    </row>
    <row r="3" spans="1:24" x14ac:dyDescent="0.35">
      <c r="A3" t="s">
        <v>104</v>
      </c>
      <c r="B3" s="1">
        <v>34700</v>
      </c>
      <c r="C3" s="1">
        <v>47484</v>
      </c>
      <c r="D3" s="2" t="str">
        <f t="shared" si="0"/>
        <v>D_SNOW</v>
      </c>
      <c r="E3" s="2" t="str">
        <f t="shared" si="1"/>
        <v>D_SNOW</v>
      </c>
      <c r="F3" t="s">
        <v>58</v>
      </c>
      <c r="G3" t="s">
        <v>59</v>
      </c>
      <c r="H3" t="s">
        <v>90</v>
      </c>
      <c r="I3" t="s">
        <v>11</v>
      </c>
      <c r="J3" t="s">
        <v>11</v>
      </c>
      <c r="K3" t="s">
        <v>11</v>
      </c>
      <c r="L3" t="s">
        <v>11</v>
      </c>
      <c r="M3" t="s">
        <v>15</v>
      </c>
      <c r="N3" t="s">
        <v>16</v>
      </c>
      <c r="O3">
        <f>VLOOKUP($V3,naming_lookup!$C$1:$H$40,3,FALSE)</f>
        <v>0</v>
      </c>
      <c r="P3">
        <f>VLOOKUP($V3,naming_lookup!$C$1:$H$40,4,FALSE)</f>
        <v>100</v>
      </c>
      <c r="Q3">
        <v>100</v>
      </c>
      <c r="R3" s="2" t="s">
        <v>211</v>
      </c>
      <c r="S3" t="str">
        <f>VLOOKUP($V3,naming_lookup!$C$1:$H$40,5,FALSE)</f>
        <v>sd</v>
      </c>
      <c r="T3" t="str">
        <f>VLOOKUP($V3,naming_lookup!$C$1:$H$40,5,FALSE)</f>
        <v>sd</v>
      </c>
      <c r="U3" t="str">
        <f>VLOOKUP($V3,naming_lookup!$C$1:$H$40,6,FALSE)</f>
        <v>cm</v>
      </c>
      <c r="V3" t="s">
        <v>57</v>
      </c>
      <c r="W3" t="s">
        <v>58</v>
      </c>
      <c r="X3" t="s">
        <v>59</v>
      </c>
    </row>
    <row r="4" spans="1:24" x14ac:dyDescent="0.35">
      <c r="A4" t="s">
        <v>104</v>
      </c>
      <c r="B4" s="1">
        <v>34700</v>
      </c>
      <c r="C4" s="1">
        <v>47484</v>
      </c>
      <c r="D4" s="2" t="str">
        <f t="shared" si="0"/>
        <v>D_SNOW_4_1_1</v>
      </c>
      <c r="E4" s="2" t="str">
        <f t="shared" si="1"/>
        <v>D_SNOW_4_1_1</v>
      </c>
      <c r="F4" t="s">
        <v>58</v>
      </c>
      <c r="G4" t="s">
        <v>59</v>
      </c>
      <c r="H4" t="s">
        <v>90</v>
      </c>
      <c r="I4" t="s">
        <v>11</v>
      </c>
      <c r="J4">
        <v>4</v>
      </c>
      <c r="K4">
        <v>1</v>
      </c>
      <c r="L4">
        <v>1</v>
      </c>
      <c r="M4" t="s">
        <v>15</v>
      </c>
      <c r="N4" t="s">
        <v>16</v>
      </c>
      <c r="O4">
        <f>VLOOKUP($V4,naming_lookup!$C$1:$H$40,3,FALSE)</f>
        <v>0</v>
      </c>
      <c r="P4">
        <f>VLOOKUP($V4,naming_lookup!$C$1:$H$40,4,FALSE)</f>
        <v>100</v>
      </c>
      <c r="Q4">
        <v>100</v>
      </c>
      <c r="R4" s="2" t="s">
        <v>211</v>
      </c>
      <c r="S4" t="str">
        <f>VLOOKUP($V4,naming_lookup!$C$1:$H$40,5,FALSE)</f>
        <v>sd</v>
      </c>
      <c r="T4" t="str">
        <f>VLOOKUP($V4,naming_lookup!$C$1:$H$40,5,FALSE)</f>
        <v>sd</v>
      </c>
      <c r="U4" t="str">
        <f>VLOOKUP($V4,naming_lookup!$C$1:$H$40,6,FALSE)</f>
        <v>cm</v>
      </c>
      <c r="V4" t="s">
        <v>57</v>
      </c>
      <c r="W4" t="s">
        <v>58</v>
      </c>
      <c r="X4" t="s">
        <v>59</v>
      </c>
    </row>
    <row r="5" spans="1:24" x14ac:dyDescent="0.35">
      <c r="A5" t="s">
        <v>104</v>
      </c>
      <c r="B5" s="1">
        <v>34700</v>
      </c>
      <c r="C5" s="1">
        <v>47484</v>
      </c>
      <c r="D5" s="2" t="str">
        <f t="shared" si="0"/>
        <v>DATECT</v>
      </c>
      <c r="E5" s="2" t="s">
        <v>10</v>
      </c>
      <c r="F5" s="2" t="s">
        <v>86</v>
      </c>
      <c r="H5" t="s">
        <v>91</v>
      </c>
      <c r="I5" s="2" t="s">
        <v>102</v>
      </c>
      <c r="J5" t="s">
        <v>11</v>
      </c>
      <c r="K5" t="s">
        <v>11</v>
      </c>
      <c r="L5" t="s">
        <v>11</v>
      </c>
      <c r="M5" t="s">
        <v>11</v>
      </c>
      <c r="N5" t="s">
        <v>11</v>
      </c>
      <c r="O5" t="e">
        <f>VLOOKUP($V5,naming_lookup!$C$1:$H$40,3,FALSE)</f>
        <v>#N/A</v>
      </c>
      <c r="P5" t="e">
        <f>VLOOKUP($V5,naming_lookup!$C$1:$H$40,4,FALSE)</f>
        <v>#N/A</v>
      </c>
      <c r="Q5" t="s">
        <v>11</v>
      </c>
      <c r="R5" s="2" t="s">
        <v>11</v>
      </c>
      <c r="S5" t="str">
        <f>VLOOKUP($V5,naming_lookup!$C$1:$H$40,5,FALSE)</f>
        <v>time</v>
      </c>
      <c r="T5" t="str">
        <f>VLOOKUP($V5,naming_lookup!$C$1:$H$40,5,FALSE)</f>
        <v>time</v>
      </c>
      <c r="U5" t="str">
        <f>VLOOKUP($V5,naming_lookup!$C$1:$H$40,6,FALSE)</f>
        <v>NA</v>
      </c>
      <c r="V5" t="s">
        <v>85</v>
      </c>
      <c r="W5" s="2" t="s">
        <v>86</v>
      </c>
    </row>
    <row r="6" spans="1:24" x14ac:dyDescent="0.35">
      <c r="A6" t="s">
        <v>104</v>
      </c>
      <c r="B6" s="1">
        <v>34700</v>
      </c>
      <c r="C6" s="1">
        <v>47484</v>
      </c>
      <c r="D6" s="2" t="str">
        <f t="shared" si="0"/>
        <v>G</v>
      </c>
      <c r="E6" s="2" t="str">
        <f t="shared" si="1"/>
        <v>G</v>
      </c>
      <c r="F6" t="s">
        <v>21</v>
      </c>
      <c r="G6" t="s">
        <v>22</v>
      </c>
      <c r="H6" t="s">
        <v>92</v>
      </c>
      <c r="I6" t="s">
        <v>11</v>
      </c>
      <c r="J6" t="s">
        <v>11</v>
      </c>
      <c r="K6" t="s">
        <v>11</v>
      </c>
      <c r="L6" t="s">
        <v>11</v>
      </c>
      <c r="M6" t="s">
        <v>15</v>
      </c>
      <c r="N6" t="s">
        <v>16</v>
      </c>
      <c r="O6">
        <f>VLOOKUP($V6,naming_lookup!$C$1:$H$40,3,FALSE)</f>
        <v>-30</v>
      </c>
      <c r="P6">
        <f>VLOOKUP($V6,naming_lookup!$C$1:$H$40,4,FALSE)</f>
        <v>30</v>
      </c>
      <c r="Q6">
        <v>100</v>
      </c>
      <c r="R6" s="2" t="s">
        <v>210</v>
      </c>
      <c r="S6" t="str">
        <f>VLOOKUP($V6,naming_lookup!$C$1:$H$40,5,FALSE)</f>
        <v>ssrd</v>
      </c>
      <c r="T6" t="str">
        <f>VLOOKUP($V6,naming_lookup!$C$1:$H$40,5,FALSE)</f>
        <v>ssrd</v>
      </c>
      <c r="U6" t="str">
        <f>VLOOKUP($V6,naming_lookup!$C$1:$H$40,6,FALSE)</f>
        <v>W / m^2</v>
      </c>
      <c r="V6" t="s">
        <v>20</v>
      </c>
      <c r="W6" t="s">
        <v>21</v>
      </c>
      <c r="X6" t="s">
        <v>22</v>
      </c>
    </row>
    <row r="7" spans="1:24" x14ac:dyDescent="0.35">
      <c r="A7" t="s">
        <v>104</v>
      </c>
      <c r="B7" s="1">
        <v>34700</v>
      </c>
      <c r="C7" s="1">
        <v>47484</v>
      </c>
      <c r="D7" s="2" t="str">
        <f t="shared" si="0"/>
        <v>G_4_1_1</v>
      </c>
      <c r="E7" s="2" t="str">
        <f t="shared" si="1"/>
        <v>G_4_1_1</v>
      </c>
      <c r="F7" t="s">
        <v>21</v>
      </c>
      <c r="G7" t="s">
        <v>22</v>
      </c>
      <c r="H7" t="s">
        <v>92</v>
      </c>
      <c r="I7" t="s">
        <v>11</v>
      </c>
      <c r="J7">
        <v>4</v>
      </c>
      <c r="K7">
        <v>1</v>
      </c>
      <c r="L7">
        <v>1</v>
      </c>
      <c r="M7" t="s">
        <v>15</v>
      </c>
      <c r="N7" t="s">
        <v>16</v>
      </c>
      <c r="O7">
        <f>VLOOKUP($V7,naming_lookup!$C$1:$H$40,3,FALSE)</f>
        <v>-30</v>
      </c>
      <c r="P7">
        <f>VLOOKUP($V7,naming_lookup!$C$1:$H$40,4,FALSE)</f>
        <v>30</v>
      </c>
      <c r="Q7">
        <v>100</v>
      </c>
      <c r="R7" s="2" t="s">
        <v>210</v>
      </c>
      <c r="S7" t="str">
        <f>VLOOKUP($V7,naming_lookup!$C$1:$H$40,5,FALSE)</f>
        <v>ssrd</v>
      </c>
      <c r="T7" t="str">
        <f>VLOOKUP($V7,naming_lookup!$C$1:$H$40,5,FALSE)</f>
        <v>ssrd</v>
      </c>
      <c r="U7" t="str">
        <f>VLOOKUP($V7,naming_lookup!$C$1:$H$40,6,FALSE)</f>
        <v>W / m^2</v>
      </c>
      <c r="V7" t="s">
        <v>20</v>
      </c>
      <c r="W7" t="s">
        <v>21</v>
      </c>
      <c r="X7" t="s">
        <v>22</v>
      </c>
    </row>
    <row r="8" spans="1:24" x14ac:dyDescent="0.35">
      <c r="A8" t="s">
        <v>104</v>
      </c>
      <c r="B8" s="1">
        <v>34700</v>
      </c>
      <c r="C8" s="1">
        <v>47484</v>
      </c>
      <c r="D8" s="2" t="str">
        <f t="shared" si="0"/>
        <v>G_4_1_2</v>
      </c>
      <c r="E8" s="2" t="str">
        <f t="shared" si="1"/>
        <v>G_4_1_2</v>
      </c>
      <c r="F8" t="s">
        <v>21</v>
      </c>
      <c r="G8" t="s">
        <v>22</v>
      </c>
      <c r="H8" t="s">
        <v>92</v>
      </c>
      <c r="I8" t="s">
        <v>11</v>
      </c>
      <c r="J8">
        <v>4</v>
      </c>
      <c r="K8">
        <v>1</v>
      </c>
      <c r="L8">
        <v>2</v>
      </c>
      <c r="M8" t="s">
        <v>15</v>
      </c>
      <c r="N8" t="s">
        <v>16</v>
      </c>
      <c r="O8">
        <f>VLOOKUP($V8,naming_lookup!$C$1:$H$40,3,FALSE)</f>
        <v>-30</v>
      </c>
      <c r="P8">
        <f>VLOOKUP($V8,naming_lookup!$C$1:$H$40,4,FALSE)</f>
        <v>30</v>
      </c>
      <c r="Q8">
        <v>100</v>
      </c>
      <c r="R8" s="2" t="s">
        <v>210</v>
      </c>
      <c r="S8" t="str">
        <f>VLOOKUP($V8,naming_lookup!$C$1:$H$40,5,FALSE)</f>
        <v>ssrd</v>
      </c>
      <c r="T8" t="str">
        <f>VLOOKUP($V8,naming_lookup!$C$1:$H$40,5,FALSE)</f>
        <v>ssrd</v>
      </c>
      <c r="U8" t="str">
        <f>VLOOKUP($V8,naming_lookup!$C$1:$H$40,6,FALSE)</f>
        <v>W / m^2</v>
      </c>
      <c r="V8" t="s">
        <v>20</v>
      </c>
      <c r="W8" t="s">
        <v>21</v>
      </c>
      <c r="X8" t="s">
        <v>22</v>
      </c>
    </row>
    <row r="9" spans="1:24" x14ac:dyDescent="0.35">
      <c r="A9" t="s">
        <v>104</v>
      </c>
      <c r="B9" s="1">
        <v>34700</v>
      </c>
      <c r="C9" s="1">
        <v>47484</v>
      </c>
      <c r="D9" s="2" t="str">
        <f t="shared" si="0"/>
        <v>LW_IN</v>
      </c>
      <c r="E9" s="2" t="str">
        <f t="shared" si="1"/>
        <v>LW_IN</v>
      </c>
      <c r="F9" t="s">
        <v>36</v>
      </c>
      <c r="G9" t="s">
        <v>22</v>
      </c>
      <c r="H9" t="s">
        <v>93</v>
      </c>
      <c r="I9" t="s">
        <v>11</v>
      </c>
      <c r="J9" t="s">
        <v>11</v>
      </c>
      <c r="K9" t="s">
        <v>11</v>
      </c>
      <c r="L9" t="s">
        <v>11</v>
      </c>
      <c r="M9" t="s">
        <v>15</v>
      </c>
      <c r="N9" t="s">
        <v>16</v>
      </c>
      <c r="O9">
        <f>VLOOKUP($V9,naming_lookup!$C$1:$H$40,3,FALSE)</f>
        <v>0</v>
      </c>
      <c r="P9">
        <f>VLOOKUP($V9,naming_lookup!$C$1:$H$40,4,FALSE)</f>
        <v>1200</v>
      </c>
      <c r="Q9">
        <v>100</v>
      </c>
      <c r="R9" s="2" t="s">
        <v>210</v>
      </c>
      <c r="S9" t="str">
        <f>VLOOKUP($V9,naming_lookup!$C$1:$H$40,5,FALSE)</f>
        <v>strd</v>
      </c>
      <c r="T9" t="str">
        <f>VLOOKUP($V9,naming_lookup!$C$1:$H$40,5,FALSE)</f>
        <v>strd</v>
      </c>
      <c r="U9" t="str">
        <f>VLOOKUP($V9,naming_lookup!$C$1:$H$40,6,FALSE)</f>
        <v>W / m^2</v>
      </c>
      <c r="V9" t="s">
        <v>35</v>
      </c>
      <c r="W9" t="s">
        <v>36</v>
      </c>
      <c r="X9" t="s">
        <v>22</v>
      </c>
    </row>
    <row r="10" spans="1:24" x14ac:dyDescent="0.35">
      <c r="A10" t="s">
        <v>104</v>
      </c>
      <c r="B10" s="1">
        <v>34700</v>
      </c>
      <c r="C10" s="1">
        <v>47484</v>
      </c>
      <c r="D10" s="2" t="str">
        <f t="shared" si="0"/>
        <v>LW_IN_5_1_1</v>
      </c>
      <c r="E10" s="2" t="str">
        <f t="shared" si="1"/>
        <v>LW_IN_5_1_1</v>
      </c>
      <c r="F10" t="s">
        <v>36</v>
      </c>
      <c r="G10" t="s">
        <v>22</v>
      </c>
      <c r="H10" t="s">
        <v>93</v>
      </c>
      <c r="I10" t="s">
        <v>11</v>
      </c>
      <c r="J10">
        <v>5</v>
      </c>
      <c r="K10">
        <v>1</v>
      </c>
      <c r="L10">
        <v>1</v>
      </c>
      <c r="M10" t="s">
        <v>15</v>
      </c>
      <c r="N10" t="s">
        <v>16</v>
      </c>
      <c r="O10">
        <f>VLOOKUP($V10,naming_lookup!$C$1:$H$40,3,FALSE)</f>
        <v>0</v>
      </c>
      <c r="P10">
        <f>VLOOKUP($V10,naming_lookup!$C$1:$H$40,4,FALSE)</f>
        <v>1200</v>
      </c>
      <c r="Q10">
        <v>100</v>
      </c>
      <c r="R10" s="2" t="s">
        <v>210</v>
      </c>
      <c r="S10" t="str">
        <f>VLOOKUP($V10,naming_lookup!$C$1:$H$40,5,FALSE)</f>
        <v>strd</v>
      </c>
      <c r="T10" t="str">
        <f>VLOOKUP($V10,naming_lookup!$C$1:$H$40,5,FALSE)</f>
        <v>strd</v>
      </c>
      <c r="U10" t="str">
        <f>VLOOKUP($V10,naming_lookup!$C$1:$H$40,6,FALSE)</f>
        <v>W / m^2</v>
      </c>
      <c r="V10" t="s">
        <v>35</v>
      </c>
      <c r="W10" t="s">
        <v>36</v>
      </c>
      <c r="X10" t="s">
        <v>22</v>
      </c>
    </row>
    <row r="11" spans="1:24" x14ac:dyDescent="0.35">
      <c r="A11" t="s">
        <v>104</v>
      </c>
      <c r="B11" s="1">
        <v>34700</v>
      </c>
      <c r="C11" s="1">
        <v>47484</v>
      </c>
      <c r="D11" s="2" t="str">
        <f t="shared" si="0"/>
        <v>LW_OUT</v>
      </c>
      <c r="E11" s="2" t="str">
        <f t="shared" si="1"/>
        <v>LW_OUT</v>
      </c>
      <c r="F11" t="s">
        <v>38</v>
      </c>
      <c r="G11" t="s">
        <v>22</v>
      </c>
      <c r="H11" t="s">
        <v>92</v>
      </c>
      <c r="I11" t="s">
        <v>11</v>
      </c>
      <c r="J11" t="s">
        <v>11</v>
      </c>
      <c r="K11" t="s">
        <v>11</v>
      </c>
      <c r="L11" t="s">
        <v>11</v>
      </c>
      <c r="M11" t="s">
        <v>15</v>
      </c>
      <c r="N11" t="s">
        <v>16</v>
      </c>
      <c r="O11">
        <f>VLOOKUP($V11,naming_lookup!$C$1:$H$40,3,FALSE)</f>
        <v>0</v>
      </c>
      <c r="P11">
        <f>VLOOKUP($V11,naming_lookup!$C$1:$H$40,4,FALSE)</f>
        <v>1000</v>
      </c>
      <c r="Q11">
        <v>100</v>
      </c>
      <c r="R11" s="2" t="s">
        <v>210</v>
      </c>
      <c r="S11" t="str">
        <f>VLOOKUP($V11,naming_lookup!$C$1:$H$40,5,FALSE)</f>
        <v>stru</v>
      </c>
      <c r="T11" t="str">
        <f>VLOOKUP($V11,naming_lookup!$C$1:$H$40,5,FALSE)</f>
        <v>stru</v>
      </c>
      <c r="U11" t="str">
        <f>VLOOKUP($V11,naming_lookup!$C$1:$H$40,6,FALSE)</f>
        <v>W / m^2</v>
      </c>
      <c r="V11" t="s">
        <v>37</v>
      </c>
      <c r="W11" t="s">
        <v>38</v>
      </c>
      <c r="X11" t="s">
        <v>22</v>
      </c>
    </row>
    <row r="12" spans="1:24" x14ac:dyDescent="0.35">
      <c r="A12" t="s">
        <v>104</v>
      </c>
      <c r="B12" s="1">
        <v>34700</v>
      </c>
      <c r="C12" s="1">
        <v>47484</v>
      </c>
      <c r="D12" s="2" t="str">
        <f t="shared" si="0"/>
        <v>LW_OUT_5_1_1</v>
      </c>
      <c r="E12" s="2" t="str">
        <f t="shared" si="1"/>
        <v>LW_OUT_5_1_1</v>
      </c>
      <c r="F12" t="s">
        <v>38</v>
      </c>
      <c r="G12" t="s">
        <v>22</v>
      </c>
      <c r="H12" t="s">
        <v>92</v>
      </c>
      <c r="I12" t="s">
        <v>11</v>
      </c>
      <c r="J12">
        <v>5</v>
      </c>
      <c r="K12">
        <v>1</v>
      </c>
      <c r="L12">
        <v>1</v>
      </c>
      <c r="M12" t="s">
        <v>15</v>
      </c>
      <c r="N12" t="s">
        <v>16</v>
      </c>
      <c r="O12">
        <f>VLOOKUP($V12,naming_lookup!$C$1:$H$40,3,FALSE)</f>
        <v>0</v>
      </c>
      <c r="P12">
        <f>VLOOKUP($V12,naming_lookup!$C$1:$H$40,4,FALSE)</f>
        <v>1000</v>
      </c>
      <c r="Q12">
        <v>100</v>
      </c>
      <c r="R12" s="2" t="s">
        <v>210</v>
      </c>
      <c r="S12" t="str">
        <f>VLOOKUP($V12,naming_lookup!$C$1:$H$40,5,FALSE)</f>
        <v>stru</v>
      </c>
      <c r="T12" t="str">
        <f>VLOOKUP($V12,naming_lookup!$C$1:$H$40,5,FALSE)</f>
        <v>stru</v>
      </c>
      <c r="U12" t="str">
        <f>VLOOKUP($V12,naming_lookup!$C$1:$H$40,6,FALSE)</f>
        <v>W / m^2</v>
      </c>
      <c r="V12" t="s">
        <v>37</v>
      </c>
      <c r="W12" t="s">
        <v>38</v>
      </c>
      <c r="X12" t="s">
        <v>22</v>
      </c>
    </row>
    <row r="13" spans="1:24" x14ac:dyDescent="0.35">
      <c r="A13" t="s">
        <v>104</v>
      </c>
      <c r="B13" s="1">
        <v>34700</v>
      </c>
      <c r="C13" s="1">
        <v>47484</v>
      </c>
      <c r="D13" s="2" t="str">
        <f t="shared" si="0"/>
        <v>LWS_4_1_1</v>
      </c>
      <c r="E13" s="2" t="str">
        <f t="shared" si="1"/>
        <v>LWS_4_1_1</v>
      </c>
      <c r="F13" t="s">
        <v>82</v>
      </c>
      <c r="G13" t="s">
        <v>83</v>
      </c>
      <c r="H13" t="s">
        <v>93</v>
      </c>
      <c r="I13" t="s">
        <v>11</v>
      </c>
      <c r="J13">
        <v>4</v>
      </c>
      <c r="K13">
        <v>1</v>
      </c>
      <c r="L13">
        <v>1</v>
      </c>
      <c r="M13" t="s">
        <v>15</v>
      </c>
      <c r="N13" t="s">
        <v>16</v>
      </c>
      <c r="O13">
        <f>VLOOKUP($V13,naming_lookup!$C$1:$H$40,3,FALSE)</f>
        <v>-99999</v>
      </c>
      <c r="P13">
        <f>VLOOKUP($V13,naming_lookup!$C$1:$H$40,4,FALSE)</f>
        <v>99999</v>
      </c>
      <c r="Q13">
        <v>100</v>
      </c>
      <c r="R13" s="2" t="s">
        <v>210</v>
      </c>
      <c r="S13" t="str">
        <f>VLOOKUP($V13,naming_lookup!$C$1:$H$40,5,FALSE)</f>
        <v>rh</v>
      </c>
      <c r="T13" t="str">
        <f>VLOOKUP($V13,naming_lookup!$C$1:$H$40,5,FALSE)</f>
        <v>rh</v>
      </c>
      <c r="U13">
        <f>VLOOKUP($V13,naming_lookup!$C$1:$H$40,6,FALSE)</f>
        <v>1</v>
      </c>
      <c r="V13" t="s">
        <v>135</v>
      </c>
      <c r="W13" t="s">
        <v>82</v>
      </c>
      <c r="X13" t="s">
        <v>83</v>
      </c>
    </row>
    <row r="14" spans="1:24" x14ac:dyDescent="0.35">
      <c r="A14" t="s">
        <v>104</v>
      </c>
      <c r="B14" s="1">
        <v>34700</v>
      </c>
      <c r="C14" s="1">
        <v>47484</v>
      </c>
      <c r="D14" s="2" t="str">
        <f t="shared" si="0"/>
        <v>LWS_4_1_2</v>
      </c>
      <c r="E14" s="2" t="str">
        <f t="shared" si="1"/>
        <v>LWS_4_1_2</v>
      </c>
      <c r="F14" t="s">
        <v>82</v>
      </c>
      <c r="G14" t="s">
        <v>83</v>
      </c>
      <c r="H14" t="s">
        <v>93</v>
      </c>
      <c r="I14" t="s">
        <v>11</v>
      </c>
      <c r="J14">
        <v>4</v>
      </c>
      <c r="K14">
        <v>1</v>
      </c>
      <c r="L14">
        <v>2</v>
      </c>
      <c r="M14" t="s">
        <v>15</v>
      </c>
      <c r="N14" t="s">
        <v>16</v>
      </c>
      <c r="O14">
        <f>VLOOKUP($V14,naming_lookup!$C$1:$H$40,3,FALSE)</f>
        <v>-99999</v>
      </c>
      <c r="P14">
        <f>VLOOKUP($V14,naming_lookup!$C$1:$H$40,4,FALSE)</f>
        <v>99999</v>
      </c>
      <c r="Q14">
        <v>100</v>
      </c>
      <c r="R14" s="2" t="s">
        <v>210</v>
      </c>
      <c r="S14" t="str">
        <f>VLOOKUP($V14,naming_lookup!$C$1:$H$40,5,FALSE)</f>
        <v>rh</v>
      </c>
      <c r="T14" t="str">
        <f>VLOOKUP($V14,naming_lookup!$C$1:$H$40,5,FALSE)</f>
        <v>rh</v>
      </c>
      <c r="U14">
        <f>VLOOKUP($V14,naming_lookup!$C$1:$H$40,6,FALSE)</f>
        <v>1</v>
      </c>
      <c r="V14" t="s">
        <v>135</v>
      </c>
      <c r="W14" t="s">
        <v>82</v>
      </c>
      <c r="X14" t="s">
        <v>83</v>
      </c>
    </row>
    <row r="15" spans="1:24" x14ac:dyDescent="0.35">
      <c r="A15" t="s">
        <v>104</v>
      </c>
      <c r="B15" s="1">
        <v>34700</v>
      </c>
      <c r="C15" s="1">
        <v>47484</v>
      </c>
      <c r="D15" s="2" t="str">
        <f t="shared" si="0"/>
        <v>NDVI_649IN_5_1_1</v>
      </c>
      <c r="E15" s="2" t="str">
        <f t="shared" si="1"/>
        <v>NDVI_649IN_5_1_1</v>
      </c>
      <c r="F15" t="s">
        <v>74</v>
      </c>
      <c r="G15" t="s">
        <v>42</v>
      </c>
      <c r="H15" t="s">
        <v>92</v>
      </c>
      <c r="I15" t="s">
        <v>11</v>
      </c>
      <c r="J15">
        <v>5</v>
      </c>
      <c r="K15">
        <v>1</v>
      </c>
      <c r="L15">
        <v>1</v>
      </c>
      <c r="M15" t="s">
        <v>15</v>
      </c>
      <c r="N15" t="s">
        <v>16</v>
      </c>
      <c r="O15">
        <f>VLOOKUP($V15,naming_lookup!$C$1:$H$40,3,FALSE)</f>
        <v>0</v>
      </c>
      <c r="P15">
        <f>VLOOKUP($V15,naming_lookup!$C$1:$H$40,4,FALSE)</f>
        <v>500</v>
      </c>
      <c r="Q15">
        <v>100</v>
      </c>
      <c r="R15" s="2" t="s">
        <v>212</v>
      </c>
      <c r="S15" t="str">
        <f>VLOOKUP($V15,naming_lookup!$C$1:$H$40,5,FALSE)</f>
        <v>ssrd</v>
      </c>
      <c r="T15" t="str">
        <f>VLOOKUP($V15,naming_lookup!$C$1:$H$40,5,FALSE)</f>
        <v>ssrd</v>
      </c>
      <c r="U15" t="str">
        <f>VLOOKUP($V15,naming_lookup!$C$1:$H$40,6,FALSE)</f>
        <v>micromol / m^2 / s</v>
      </c>
      <c r="V15" t="s">
        <v>137</v>
      </c>
      <c r="W15" t="s">
        <v>74</v>
      </c>
      <c r="X15" t="s">
        <v>42</v>
      </c>
    </row>
    <row r="16" spans="1:24" x14ac:dyDescent="0.35">
      <c r="A16" t="s">
        <v>104</v>
      </c>
      <c r="B16" s="1">
        <v>34700</v>
      </c>
      <c r="C16" s="1">
        <v>47484</v>
      </c>
      <c r="D16" s="2" t="str">
        <f t="shared" si="0"/>
        <v>NDVI_649OUT_5_1_1</v>
      </c>
      <c r="E16" s="2" t="str">
        <f t="shared" si="1"/>
        <v>NDVI_649OUT_5_1_1</v>
      </c>
      <c r="F16" t="s">
        <v>76</v>
      </c>
      <c r="G16" t="s">
        <v>42</v>
      </c>
      <c r="H16" t="s">
        <v>92</v>
      </c>
      <c r="I16" t="s">
        <v>11</v>
      </c>
      <c r="J16">
        <v>5</v>
      </c>
      <c r="K16">
        <v>1</v>
      </c>
      <c r="L16">
        <v>1</v>
      </c>
      <c r="M16" t="s">
        <v>15</v>
      </c>
      <c r="N16" t="s">
        <v>16</v>
      </c>
      <c r="O16">
        <f>VLOOKUP($V16,naming_lookup!$C$1:$H$40,3,FALSE)</f>
        <v>0</v>
      </c>
      <c r="P16">
        <f>VLOOKUP($V16,naming_lookup!$C$1:$H$40,4,FALSE)</f>
        <v>500</v>
      </c>
      <c r="Q16">
        <v>100</v>
      </c>
      <c r="R16" s="2" t="s">
        <v>212</v>
      </c>
      <c r="S16" t="str">
        <f>VLOOKUP($V16,naming_lookup!$C$1:$H$40,5,FALSE)</f>
        <v>ssru</v>
      </c>
      <c r="T16" t="str">
        <f>VLOOKUP($V16,naming_lookup!$C$1:$H$40,5,FALSE)</f>
        <v>ssru</v>
      </c>
      <c r="U16" t="str">
        <f>VLOOKUP($V16,naming_lookup!$C$1:$H$40,6,FALSE)</f>
        <v>micromol / m^2 / s</v>
      </c>
      <c r="V16" t="s">
        <v>140</v>
      </c>
      <c r="W16" t="s">
        <v>76</v>
      </c>
      <c r="X16" t="s">
        <v>42</v>
      </c>
    </row>
    <row r="17" spans="1:24" x14ac:dyDescent="0.35">
      <c r="A17" t="s">
        <v>104</v>
      </c>
      <c r="B17" s="1">
        <v>34700</v>
      </c>
      <c r="C17" s="1">
        <v>47484</v>
      </c>
      <c r="D17" s="2" t="str">
        <f t="shared" si="0"/>
        <v>NDVI_797IN_5_1_1</v>
      </c>
      <c r="E17" s="2" t="str">
        <f t="shared" si="1"/>
        <v>NDVI_797IN_5_1_1</v>
      </c>
      <c r="F17" t="s">
        <v>78</v>
      </c>
      <c r="G17" t="s">
        <v>42</v>
      </c>
      <c r="H17" t="s">
        <v>92</v>
      </c>
      <c r="I17" t="s">
        <v>11</v>
      </c>
      <c r="J17">
        <v>5</v>
      </c>
      <c r="K17">
        <v>1</v>
      </c>
      <c r="L17">
        <v>1</v>
      </c>
      <c r="M17" t="s">
        <v>15</v>
      </c>
      <c r="N17" t="s">
        <v>16</v>
      </c>
      <c r="O17">
        <f>VLOOKUP($V17,naming_lookup!$C$1:$H$40,3,FALSE)</f>
        <v>0</v>
      </c>
      <c r="P17">
        <f>VLOOKUP($V17,naming_lookup!$C$1:$H$40,4,FALSE)</f>
        <v>500</v>
      </c>
      <c r="Q17">
        <v>100</v>
      </c>
      <c r="R17" s="2" t="s">
        <v>212</v>
      </c>
      <c r="S17" t="str">
        <f>VLOOKUP($V17,naming_lookup!$C$1:$H$40,5,FALSE)</f>
        <v>ssrd</v>
      </c>
      <c r="T17" t="str">
        <f>VLOOKUP($V17,naming_lookup!$C$1:$H$40,5,FALSE)</f>
        <v>ssrd</v>
      </c>
      <c r="U17" t="str">
        <f>VLOOKUP($V17,naming_lookup!$C$1:$H$40,6,FALSE)</f>
        <v>micromol / m^2 / s</v>
      </c>
      <c r="V17" t="s">
        <v>141</v>
      </c>
      <c r="W17" t="s">
        <v>78</v>
      </c>
      <c r="X17" t="s">
        <v>42</v>
      </c>
    </row>
    <row r="18" spans="1:24" x14ac:dyDescent="0.35">
      <c r="A18" t="s">
        <v>104</v>
      </c>
      <c r="B18" s="1">
        <v>34700</v>
      </c>
      <c r="C18" s="1">
        <v>47484</v>
      </c>
      <c r="D18" s="2" t="str">
        <f t="shared" si="0"/>
        <v>NDVI_797OUT_5_1_1</v>
      </c>
      <c r="E18" s="2" t="str">
        <f t="shared" si="1"/>
        <v>NDVI_797OUT_5_1_1</v>
      </c>
      <c r="F18" t="s">
        <v>80</v>
      </c>
      <c r="G18" t="s">
        <v>42</v>
      </c>
      <c r="H18" t="s">
        <v>92</v>
      </c>
      <c r="I18" t="s">
        <v>11</v>
      </c>
      <c r="J18">
        <v>5</v>
      </c>
      <c r="K18">
        <v>1</v>
      </c>
      <c r="L18">
        <v>1</v>
      </c>
      <c r="M18" t="s">
        <v>15</v>
      </c>
      <c r="N18" t="s">
        <v>16</v>
      </c>
      <c r="O18">
        <f>VLOOKUP($V18,naming_lookup!$C$1:$H$40,3,FALSE)</f>
        <v>0</v>
      </c>
      <c r="P18">
        <f>VLOOKUP($V18,naming_lookup!$C$1:$H$40,4,FALSE)</f>
        <v>500</v>
      </c>
      <c r="Q18">
        <v>100</v>
      </c>
      <c r="R18" s="2" t="s">
        <v>212</v>
      </c>
      <c r="S18" t="str">
        <f>VLOOKUP($V18,naming_lookup!$C$1:$H$40,5,FALSE)</f>
        <v>ssru</v>
      </c>
      <c r="T18" t="str">
        <f>VLOOKUP($V18,naming_lookup!$C$1:$H$40,5,FALSE)</f>
        <v>ssru</v>
      </c>
      <c r="U18" t="str">
        <f>VLOOKUP($V18,naming_lookup!$C$1:$H$40,6,FALSE)</f>
        <v>micromol / m^2 / s</v>
      </c>
      <c r="V18" t="s">
        <v>142</v>
      </c>
      <c r="W18" t="s">
        <v>80</v>
      </c>
      <c r="X18" t="s">
        <v>42</v>
      </c>
    </row>
    <row r="19" spans="1:24" x14ac:dyDescent="0.35">
      <c r="A19" t="s">
        <v>104</v>
      </c>
      <c r="B19" s="1">
        <v>34700</v>
      </c>
      <c r="C19" s="1">
        <v>47484</v>
      </c>
      <c r="D19" s="2" t="str">
        <f t="shared" si="0"/>
        <v>P_12_1_1</v>
      </c>
      <c r="E19" s="2" t="str">
        <f t="shared" si="1"/>
        <v>P_12_1_1</v>
      </c>
      <c r="F19" t="s">
        <v>49</v>
      </c>
      <c r="G19" t="s">
        <v>50</v>
      </c>
      <c r="H19" s="2" t="s">
        <v>101</v>
      </c>
      <c r="I19" t="s">
        <v>11</v>
      </c>
      <c r="J19">
        <v>12</v>
      </c>
      <c r="K19">
        <v>1</v>
      </c>
      <c r="L19">
        <v>1</v>
      </c>
      <c r="M19" t="s">
        <v>15</v>
      </c>
      <c r="N19" t="s">
        <v>16</v>
      </c>
      <c r="O19">
        <f>VLOOKUP($V19,naming_lookup!$C$1:$H$40,3,FALSE)</f>
        <v>0</v>
      </c>
      <c r="P19">
        <f>VLOOKUP($V19,naming_lookup!$C$1:$H$40,4,FALSE)</f>
        <v>50</v>
      </c>
      <c r="Q19">
        <v>100</v>
      </c>
      <c r="R19" s="2" t="s">
        <v>210</v>
      </c>
      <c r="S19" t="str">
        <f>VLOOKUP($V19,naming_lookup!$C$1:$H$40,5,FALSE)</f>
        <v>tp</v>
      </c>
      <c r="T19" t="str">
        <f>VLOOKUP($V19,naming_lookup!$C$1:$H$40,5,FALSE)</f>
        <v>tp</v>
      </c>
      <c r="U19" t="str">
        <f>VLOOKUP($V19,naming_lookup!$C$1:$H$40,6,FALSE)</f>
        <v>mm</v>
      </c>
      <c r="V19" t="s">
        <v>48</v>
      </c>
      <c r="W19" t="s">
        <v>49</v>
      </c>
      <c r="X19" t="s">
        <v>50</v>
      </c>
    </row>
    <row r="20" spans="1:24" x14ac:dyDescent="0.35">
      <c r="A20" t="s">
        <v>104</v>
      </c>
      <c r="B20" s="1">
        <v>34700</v>
      </c>
      <c r="C20" s="1">
        <v>47484</v>
      </c>
      <c r="D20" s="2" t="str">
        <f t="shared" si="0"/>
        <v>P_13_1_1</v>
      </c>
      <c r="E20" s="2" t="str">
        <f t="shared" si="1"/>
        <v>P_13_1_1</v>
      </c>
      <c r="F20" t="s">
        <v>49</v>
      </c>
      <c r="G20" t="s">
        <v>50</v>
      </c>
      <c r="H20" s="2" t="s">
        <v>101</v>
      </c>
      <c r="I20" t="s">
        <v>11</v>
      </c>
      <c r="J20">
        <v>13</v>
      </c>
      <c r="K20">
        <v>1</v>
      </c>
      <c r="L20">
        <v>1</v>
      </c>
      <c r="M20" t="s">
        <v>15</v>
      </c>
      <c r="N20" t="s">
        <v>16</v>
      </c>
      <c r="O20">
        <f>VLOOKUP($V20,naming_lookup!$C$1:$H$40,3,FALSE)</f>
        <v>0</v>
      </c>
      <c r="P20">
        <f>VLOOKUP($V20,naming_lookup!$C$1:$H$40,4,FALSE)</f>
        <v>50</v>
      </c>
      <c r="Q20">
        <v>100</v>
      </c>
      <c r="R20" s="2" t="s">
        <v>210</v>
      </c>
      <c r="S20" t="str">
        <f>VLOOKUP($V20,naming_lookup!$C$1:$H$40,5,FALSE)</f>
        <v>tp</v>
      </c>
      <c r="T20" t="str">
        <f>VLOOKUP($V20,naming_lookup!$C$1:$H$40,5,FALSE)</f>
        <v>tp</v>
      </c>
      <c r="U20" t="str">
        <f>VLOOKUP($V20,naming_lookup!$C$1:$H$40,6,FALSE)</f>
        <v>mm</v>
      </c>
      <c r="V20" t="s">
        <v>48</v>
      </c>
      <c r="W20" t="s">
        <v>49</v>
      </c>
      <c r="X20" t="s">
        <v>50</v>
      </c>
    </row>
    <row r="21" spans="1:24" x14ac:dyDescent="0.35">
      <c r="A21" t="s">
        <v>104</v>
      </c>
      <c r="B21" s="1">
        <v>34700</v>
      </c>
      <c r="C21" s="1">
        <v>47484</v>
      </c>
      <c r="D21" s="2" t="str">
        <f t="shared" si="0"/>
        <v>PA_4_1_1</v>
      </c>
      <c r="E21" s="2" t="str">
        <f t="shared" si="1"/>
        <v>PA_4_1_1</v>
      </c>
      <c r="F21" t="s">
        <v>29</v>
      </c>
      <c r="G21" t="s">
        <v>30</v>
      </c>
      <c r="H21" t="s">
        <v>94</v>
      </c>
      <c r="I21" t="s">
        <v>11</v>
      </c>
      <c r="J21">
        <v>4</v>
      </c>
      <c r="K21">
        <v>1</v>
      </c>
      <c r="L21">
        <v>1</v>
      </c>
      <c r="M21" t="s">
        <v>15</v>
      </c>
      <c r="N21" t="s">
        <v>16</v>
      </c>
      <c r="O21">
        <f>VLOOKUP($V21,naming_lookup!$C$1:$H$40,3,FALSE)</f>
        <v>90</v>
      </c>
      <c r="P21">
        <f>VLOOKUP($V21,naming_lookup!$C$1:$H$40,4,FALSE)</f>
        <v>130</v>
      </c>
      <c r="Q21">
        <v>100</v>
      </c>
      <c r="R21" s="2" t="s">
        <v>210</v>
      </c>
      <c r="S21" t="str">
        <f>VLOOKUP($V21,naming_lookup!$C$1:$H$40,5,FALSE)</f>
        <v>sp</v>
      </c>
      <c r="T21" t="str">
        <f>VLOOKUP($V21,naming_lookup!$C$1:$H$40,5,FALSE)</f>
        <v>sp</v>
      </c>
      <c r="U21" t="str">
        <f>VLOOKUP($V21,naming_lookup!$C$1:$H$40,6,FALSE)</f>
        <v>kPa</v>
      </c>
      <c r="V21" t="s">
        <v>28</v>
      </c>
      <c r="W21" t="s">
        <v>29</v>
      </c>
      <c r="X21" t="s">
        <v>30</v>
      </c>
    </row>
    <row r="22" spans="1:24" x14ac:dyDescent="0.35">
      <c r="A22" t="s">
        <v>104</v>
      </c>
      <c r="B22" s="1">
        <v>34700</v>
      </c>
      <c r="C22" s="1">
        <v>47484</v>
      </c>
      <c r="D22" s="2" t="str">
        <f t="shared" si="0"/>
        <v>PPFD_DIF</v>
      </c>
      <c r="E22" s="2" t="str">
        <f t="shared" si="1"/>
        <v>PPFD_DIF</v>
      </c>
      <c r="F22" t="s">
        <v>46</v>
      </c>
      <c r="G22" t="s">
        <v>42</v>
      </c>
      <c r="H22" t="s">
        <v>92</v>
      </c>
      <c r="I22" t="s">
        <v>11</v>
      </c>
      <c r="J22" t="s">
        <v>11</v>
      </c>
      <c r="K22" t="s">
        <v>11</v>
      </c>
      <c r="L22" t="s">
        <v>11</v>
      </c>
      <c r="M22" t="s">
        <v>15</v>
      </c>
      <c r="N22" t="s">
        <v>16</v>
      </c>
      <c r="O22">
        <f>VLOOKUP($V22,naming_lookup!$C$1:$H$40,3,FALSE)</f>
        <v>0</v>
      </c>
      <c r="P22">
        <f>VLOOKUP($V22,naming_lookup!$C$1:$H$40,4,FALSE)</f>
        <v>2200</v>
      </c>
      <c r="Q22">
        <v>100</v>
      </c>
      <c r="R22" s="2" t="s">
        <v>210</v>
      </c>
      <c r="S22" t="str">
        <f>VLOOKUP($V22,naming_lookup!$C$1:$H$40,5,FALSE)</f>
        <v>fdif</v>
      </c>
      <c r="T22" t="str">
        <f>VLOOKUP($V22,naming_lookup!$C$1:$H$40,5,FALSE)</f>
        <v>fdif</v>
      </c>
      <c r="U22" t="str">
        <f>VLOOKUP($V22,naming_lookup!$C$1:$H$40,6,FALSE)</f>
        <v>micromol / m^2 / s</v>
      </c>
      <c r="V22" t="s">
        <v>45</v>
      </c>
      <c r="W22" t="s">
        <v>46</v>
      </c>
      <c r="X22" t="s">
        <v>42</v>
      </c>
    </row>
    <row r="23" spans="1:24" x14ac:dyDescent="0.35">
      <c r="A23" t="s">
        <v>104</v>
      </c>
      <c r="B23" s="1">
        <v>34700</v>
      </c>
      <c r="C23" s="1">
        <v>47484</v>
      </c>
      <c r="D23" s="2" t="str">
        <f t="shared" si="0"/>
        <v>PPFD_DIF_4_1_1</v>
      </c>
      <c r="E23" s="2" t="str">
        <f t="shared" si="1"/>
        <v>PPFD_DIF_4_1_1</v>
      </c>
      <c r="F23" t="s">
        <v>46</v>
      </c>
      <c r="G23" t="s">
        <v>42</v>
      </c>
      <c r="H23" t="s">
        <v>92</v>
      </c>
      <c r="I23" t="s">
        <v>11</v>
      </c>
      <c r="J23">
        <v>4</v>
      </c>
      <c r="K23">
        <v>1</v>
      </c>
      <c r="L23">
        <v>1</v>
      </c>
      <c r="M23" t="s">
        <v>15</v>
      </c>
      <c r="N23" t="s">
        <v>16</v>
      </c>
      <c r="O23">
        <f>VLOOKUP($V23,naming_lookup!$C$1:$H$40,3,FALSE)</f>
        <v>0</v>
      </c>
      <c r="P23">
        <f>VLOOKUP($V23,naming_lookup!$C$1:$H$40,4,FALSE)</f>
        <v>2200</v>
      </c>
      <c r="Q23">
        <v>100</v>
      </c>
      <c r="R23" s="2" t="s">
        <v>210</v>
      </c>
      <c r="S23" t="str">
        <f>VLOOKUP($V23,naming_lookup!$C$1:$H$40,5,FALSE)</f>
        <v>fdif</v>
      </c>
      <c r="T23" t="str">
        <f>VLOOKUP($V23,naming_lookup!$C$1:$H$40,5,FALSE)</f>
        <v>fdif</v>
      </c>
      <c r="U23" t="str">
        <f>VLOOKUP($V23,naming_lookup!$C$1:$H$40,6,FALSE)</f>
        <v>micromol / m^2 / s</v>
      </c>
      <c r="V23" t="s">
        <v>45</v>
      </c>
      <c r="W23" t="s">
        <v>46</v>
      </c>
      <c r="X23" t="s">
        <v>42</v>
      </c>
    </row>
    <row r="24" spans="1:24" x14ac:dyDescent="0.35">
      <c r="A24" t="s">
        <v>104</v>
      </c>
      <c r="B24" s="1">
        <v>34700</v>
      </c>
      <c r="C24" s="1">
        <v>47484</v>
      </c>
      <c r="D24" s="2" t="str">
        <f t="shared" si="0"/>
        <v>PPFD_IN_4_1_1</v>
      </c>
      <c r="E24" s="2" t="str">
        <f t="shared" si="1"/>
        <v>PPFD_IN_4_1_1</v>
      </c>
      <c r="F24" t="s">
        <v>41</v>
      </c>
      <c r="G24" t="s">
        <v>42</v>
      </c>
      <c r="H24" t="s">
        <v>92</v>
      </c>
      <c r="I24" t="s">
        <v>11</v>
      </c>
      <c r="J24">
        <v>4</v>
      </c>
      <c r="K24">
        <v>1</v>
      </c>
      <c r="L24">
        <v>1</v>
      </c>
      <c r="M24" t="s">
        <v>15</v>
      </c>
      <c r="N24" t="s">
        <v>16</v>
      </c>
      <c r="O24">
        <f>VLOOKUP($V24,naming_lookup!$C$1:$H$40,3,FALSE)</f>
        <v>0</v>
      </c>
      <c r="P24">
        <f>VLOOKUP($V24,naming_lookup!$C$1:$H$40,4,FALSE)</f>
        <v>2200</v>
      </c>
      <c r="Q24">
        <v>100</v>
      </c>
      <c r="R24" s="2" t="s">
        <v>210</v>
      </c>
      <c r="S24" t="str">
        <f>VLOOKUP($V24,naming_lookup!$C$1:$H$40,5,FALSE)</f>
        <v>ssrd</v>
      </c>
      <c r="T24" t="str">
        <f>VLOOKUP($V24,naming_lookup!$C$1:$H$40,5,FALSE)</f>
        <v>ssrd</v>
      </c>
      <c r="U24" t="str">
        <f>VLOOKUP($V24,naming_lookup!$C$1:$H$40,6,FALSE)</f>
        <v>micromol / m^2 / s</v>
      </c>
      <c r="V24" t="s">
        <v>40</v>
      </c>
      <c r="W24" t="s">
        <v>41</v>
      </c>
      <c r="X24" t="s">
        <v>42</v>
      </c>
    </row>
    <row r="25" spans="1:24" x14ac:dyDescent="0.35">
      <c r="A25" t="s">
        <v>104</v>
      </c>
      <c r="B25" s="1">
        <v>34700</v>
      </c>
      <c r="C25" s="1">
        <v>47484</v>
      </c>
      <c r="D25" s="2" t="str">
        <f t="shared" si="0"/>
        <v>PPFD_IN_5_1_1</v>
      </c>
      <c r="E25" s="2" t="str">
        <f t="shared" si="1"/>
        <v>PPFD_IN_5_1_1</v>
      </c>
      <c r="F25" t="s">
        <v>41</v>
      </c>
      <c r="G25" t="s">
        <v>42</v>
      </c>
      <c r="H25" t="s">
        <v>92</v>
      </c>
      <c r="I25" t="s">
        <v>11</v>
      </c>
      <c r="J25">
        <v>5</v>
      </c>
      <c r="K25">
        <v>1</v>
      </c>
      <c r="L25">
        <v>1</v>
      </c>
      <c r="M25" t="s">
        <v>15</v>
      </c>
      <c r="N25" t="s">
        <v>16</v>
      </c>
      <c r="O25">
        <f>VLOOKUP($V25,naming_lookup!$C$1:$H$40,3,FALSE)</f>
        <v>0</v>
      </c>
      <c r="P25">
        <f>VLOOKUP($V25,naming_lookup!$C$1:$H$40,4,FALSE)</f>
        <v>2200</v>
      </c>
      <c r="Q25">
        <v>100</v>
      </c>
      <c r="R25" s="2" t="s">
        <v>210</v>
      </c>
      <c r="S25" t="str">
        <f>VLOOKUP($V25,naming_lookup!$C$1:$H$40,5,FALSE)</f>
        <v>ssrd</v>
      </c>
      <c r="T25" t="str">
        <f>VLOOKUP($V25,naming_lookup!$C$1:$H$40,5,FALSE)</f>
        <v>ssrd</v>
      </c>
      <c r="U25" t="str">
        <f>VLOOKUP($V25,naming_lookup!$C$1:$H$40,6,FALSE)</f>
        <v>micromol / m^2 / s</v>
      </c>
      <c r="V25" t="s">
        <v>40</v>
      </c>
      <c r="W25" t="s">
        <v>41</v>
      </c>
      <c r="X25" t="s">
        <v>42</v>
      </c>
    </row>
    <row r="26" spans="1:24" x14ac:dyDescent="0.35">
      <c r="A26" t="s">
        <v>104</v>
      </c>
      <c r="B26" s="1">
        <v>34700</v>
      </c>
      <c r="C26" s="1">
        <v>47484</v>
      </c>
      <c r="D26" s="2" t="str">
        <f t="shared" si="0"/>
        <v>PPFD_IN_5_1_2</v>
      </c>
      <c r="E26" s="2" t="str">
        <f t="shared" si="1"/>
        <v>PPFD_IN_5_1_2</v>
      </c>
      <c r="F26" t="s">
        <v>41</v>
      </c>
      <c r="G26" t="s">
        <v>42</v>
      </c>
      <c r="H26" t="s">
        <v>92</v>
      </c>
      <c r="I26" t="s">
        <v>11</v>
      </c>
      <c r="J26">
        <v>5</v>
      </c>
      <c r="K26">
        <v>1</v>
      </c>
      <c r="L26">
        <v>2</v>
      </c>
      <c r="M26" t="s">
        <v>15</v>
      </c>
      <c r="N26" t="s">
        <v>16</v>
      </c>
      <c r="O26">
        <f>VLOOKUP($V26,naming_lookup!$C$1:$H$40,3,FALSE)</f>
        <v>0</v>
      </c>
      <c r="P26">
        <f>VLOOKUP($V26,naming_lookup!$C$1:$H$40,4,FALSE)</f>
        <v>2200</v>
      </c>
      <c r="Q26">
        <v>100</v>
      </c>
      <c r="R26" s="2" t="s">
        <v>210</v>
      </c>
      <c r="S26" t="str">
        <f>VLOOKUP($V26,naming_lookup!$C$1:$H$40,5,FALSE)</f>
        <v>ssrd</v>
      </c>
      <c r="T26" t="str">
        <f>VLOOKUP($V26,naming_lookup!$C$1:$H$40,5,FALSE)</f>
        <v>ssrd</v>
      </c>
      <c r="U26" t="str">
        <f>VLOOKUP($V26,naming_lookup!$C$1:$H$40,6,FALSE)</f>
        <v>micromol / m^2 / s</v>
      </c>
      <c r="V26" t="s">
        <v>40</v>
      </c>
      <c r="W26" t="s">
        <v>41</v>
      </c>
      <c r="X26" t="s">
        <v>42</v>
      </c>
    </row>
    <row r="27" spans="1:24" x14ac:dyDescent="0.35">
      <c r="A27" t="s">
        <v>104</v>
      </c>
      <c r="B27" s="1">
        <v>34700</v>
      </c>
      <c r="C27" s="1">
        <v>47484</v>
      </c>
      <c r="D27" s="2" t="str">
        <f t="shared" si="0"/>
        <v>PPFD_OUT</v>
      </c>
      <c r="E27" s="2" t="str">
        <f t="shared" si="1"/>
        <v>PPFD_OUT</v>
      </c>
      <c r="F27" t="s">
        <v>44</v>
      </c>
      <c r="G27" t="s">
        <v>42</v>
      </c>
      <c r="H27" t="s">
        <v>92</v>
      </c>
      <c r="I27" t="s">
        <v>11</v>
      </c>
      <c r="J27" t="s">
        <v>11</v>
      </c>
      <c r="K27" t="s">
        <v>11</v>
      </c>
      <c r="L27" t="s">
        <v>11</v>
      </c>
      <c r="M27" t="s">
        <v>15</v>
      </c>
      <c r="N27" t="s">
        <v>16</v>
      </c>
      <c r="O27">
        <f>VLOOKUP($V27,naming_lookup!$C$1:$H$40,3,FALSE)</f>
        <v>0</v>
      </c>
      <c r="P27">
        <f>VLOOKUP($V27,naming_lookup!$C$1:$H$40,4,FALSE)</f>
        <v>2200</v>
      </c>
      <c r="Q27">
        <v>100</v>
      </c>
      <c r="R27" s="2" t="s">
        <v>210</v>
      </c>
      <c r="S27" t="str">
        <f>VLOOKUP($V27,naming_lookup!$C$1:$H$40,5,FALSE)</f>
        <v>ssru</v>
      </c>
      <c r="T27" t="str">
        <f>VLOOKUP($V27,naming_lookup!$C$1:$H$40,5,FALSE)</f>
        <v>ssru</v>
      </c>
      <c r="U27" t="str">
        <f>VLOOKUP($V27,naming_lookup!$C$1:$H$40,6,FALSE)</f>
        <v>micromol / m^2 / s</v>
      </c>
      <c r="V27" t="s">
        <v>43</v>
      </c>
      <c r="W27" t="s">
        <v>44</v>
      </c>
      <c r="X27" t="s">
        <v>42</v>
      </c>
    </row>
    <row r="28" spans="1:24" x14ac:dyDescent="0.35">
      <c r="A28" t="s">
        <v>104</v>
      </c>
      <c r="B28" s="1">
        <v>34700</v>
      </c>
      <c r="C28" s="1">
        <v>47484</v>
      </c>
      <c r="D28" s="2" t="str">
        <f t="shared" si="0"/>
        <v>PPFD_OUT_5_1_1</v>
      </c>
      <c r="E28" s="2" t="str">
        <f t="shared" si="1"/>
        <v>PPFD_OUT_5_1_1</v>
      </c>
      <c r="F28" t="s">
        <v>44</v>
      </c>
      <c r="G28" t="s">
        <v>42</v>
      </c>
      <c r="H28" t="s">
        <v>92</v>
      </c>
      <c r="I28" t="s">
        <v>11</v>
      </c>
      <c r="J28">
        <v>5</v>
      </c>
      <c r="K28">
        <v>1</v>
      </c>
      <c r="L28">
        <v>1</v>
      </c>
      <c r="M28" t="s">
        <v>15</v>
      </c>
      <c r="N28" t="s">
        <v>16</v>
      </c>
      <c r="O28">
        <f>VLOOKUP($V28,naming_lookup!$C$1:$H$40,3,FALSE)</f>
        <v>0</v>
      </c>
      <c r="P28">
        <f>VLOOKUP($V28,naming_lookup!$C$1:$H$40,4,FALSE)</f>
        <v>2200</v>
      </c>
      <c r="Q28">
        <v>100</v>
      </c>
      <c r="R28" s="2" t="s">
        <v>210</v>
      </c>
      <c r="S28" t="str">
        <f>VLOOKUP($V28,naming_lookup!$C$1:$H$40,5,FALSE)</f>
        <v>ssru</v>
      </c>
      <c r="T28" t="str">
        <f>VLOOKUP($V28,naming_lookup!$C$1:$H$40,5,FALSE)</f>
        <v>ssru</v>
      </c>
      <c r="U28" t="str">
        <f>VLOOKUP($V28,naming_lookup!$C$1:$H$40,6,FALSE)</f>
        <v>micromol / m^2 / s</v>
      </c>
      <c r="V28" t="s">
        <v>43</v>
      </c>
      <c r="W28" t="s">
        <v>44</v>
      </c>
      <c r="X28" t="s">
        <v>42</v>
      </c>
    </row>
    <row r="29" spans="1:24" x14ac:dyDescent="0.35">
      <c r="A29" t="s">
        <v>104</v>
      </c>
      <c r="B29" s="1">
        <v>34700</v>
      </c>
      <c r="C29" s="1">
        <v>47484</v>
      </c>
      <c r="D29" s="2" t="str">
        <f t="shared" si="0"/>
        <v>RG_4_1_0</v>
      </c>
      <c r="E29" s="2" t="str">
        <f t="shared" si="1"/>
        <v>RG_4_1_0</v>
      </c>
      <c r="F29" t="s">
        <v>72</v>
      </c>
      <c r="G29" t="s">
        <v>22</v>
      </c>
      <c r="H29" t="s">
        <v>92</v>
      </c>
      <c r="I29" t="s">
        <v>11</v>
      </c>
      <c r="J29">
        <v>4</v>
      </c>
      <c r="K29">
        <v>1</v>
      </c>
      <c r="L29">
        <v>0</v>
      </c>
      <c r="M29" t="s">
        <v>15</v>
      </c>
      <c r="N29" t="s">
        <v>16</v>
      </c>
      <c r="O29">
        <f>VLOOKUP($V29,naming_lookup!$C$1:$H$40,3,FALSE)</f>
        <v>0</v>
      </c>
      <c r="P29">
        <f>VLOOKUP($V29,naming_lookup!$C$1:$H$40,4,FALSE)</f>
        <v>1200</v>
      </c>
      <c r="Q29">
        <v>100</v>
      </c>
      <c r="R29" s="2" t="s">
        <v>210</v>
      </c>
      <c r="S29" t="str">
        <f>VLOOKUP($V29,naming_lookup!$C$1:$H$40,5,FALSE)</f>
        <v>ssrd</v>
      </c>
      <c r="T29" t="str">
        <f>VLOOKUP($V29,naming_lookup!$C$1:$H$40,5,FALSE)</f>
        <v>ssrd</v>
      </c>
      <c r="U29" t="str">
        <f>VLOOKUP($V29,naming_lookup!$C$1:$H$40,6,FALSE)</f>
        <v>W / m^2</v>
      </c>
      <c r="V29" t="s">
        <v>107</v>
      </c>
      <c r="W29" t="s">
        <v>72</v>
      </c>
      <c r="X29" t="s">
        <v>22</v>
      </c>
    </row>
    <row r="30" spans="1:24" x14ac:dyDescent="0.35">
      <c r="A30" t="s">
        <v>104</v>
      </c>
      <c r="B30" s="1">
        <v>34700</v>
      </c>
      <c r="C30" s="1">
        <v>47484</v>
      </c>
      <c r="D30" s="2" t="str">
        <f t="shared" si="0"/>
        <v>RH_2_1_1</v>
      </c>
      <c r="E30" s="2" t="str">
        <f t="shared" si="1"/>
        <v>RH_2_1_1</v>
      </c>
      <c r="F30" t="s">
        <v>70</v>
      </c>
      <c r="G30" t="s">
        <v>19</v>
      </c>
      <c r="H30" t="s">
        <v>95</v>
      </c>
      <c r="I30" t="s">
        <v>11</v>
      </c>
      <c r="J30">
        <v>2</v>
      </c>
      <c r="K30">
        <v>1</v>
      </c>
      <c r="L30">
        <v>1</v>
      </c>
      <c r="M30" t="s">
        <v>15</v>
      </c>
      <c r="N30" t="s">
        <v>16</v>
      </c>
      <c r="O30">
        <f>VLOOKUP($V30,naming_lookup!$C$1:$H$40,3,FALSE)</f>
        <v>30</v>
      </c>
      <c r="P30">
        <f>VLOOKUP($V30,naming_lookup!$C$1:$H$40,4,FALSE)</f>
        <v>120</v>
      </c>
      <c r="Q30">
        <v>100</v>
      </c>
      <c r="R30" s="2" t="s">
        <v>210</v>
      </c>
      <c r="S30" t="str">
        <f>VLOOKUP($V30,naming_lookup!$C$1:$H$40,5,FALSE)</f>
        <v>rh</v>
      </c>
      <c r="T30" t="str">
        <f>VLOOKUP($V30,naming_lookup!$C$1:$H$40,5,FALSE)</f>
        <v>rh</v>
      </c>
      <c r="U30" t="str">
        <f>VLOOKUP($V30,naming_lookup!$C$1:$H$40,6,FALSE)</f>
        <v>percent</v>
      </c>
      <c r="V30" t="s">
        <v>69</v>
      </c>
      <c r="W30" t="s">
        <v>70</v>
      </c>
      <c r="X30" t="s">
        <v>19</v>
      </c>
    </row>
    <row r="31" spans="1:24" x14ac:dyDescent="0.35">
      <c r="A31" t="s">
        <v>104</v>
      </c>
      <c r="B31" s="1">
        <v>34700</v>
      </c>
      <c r="C31" s="1">
        <v>47484</v>
      </c>
      <c r="D31" s="2" t="str">
        <f t="shared" si="0"/>
        <v>RH_4_1_1</v>
      </c>
      <c r="E31" s="2" t="str">
        <f t="shared" si="1"/>
        <v>RH_4_1_1</v>
      </c>
      <c r="F31" t="s">
        <v>70</v>
      </c>
      <c r="G31" t="s">
        <v>19</v>
      </c>
      <c r="H31" t="s">
        <v>95</v>
      </c>
      <c r="I31" t="s">
        <v>11</v>
      </c>
      <c r="J31">
        <v>4</v>
      </c>
      <c r="K31">
        <v>1</v>
      </c>
      <c r="L31">
        <v>1</v>
      </c>
      <c r="M31" t="s">
        <v>15</v>
      </c>
      <c r="N31" t="s">
        <v>16</v>
      </c>
      <c r="O31">
        <f>VLOOKUP($V31,naming_lookup!$C$1:$H$40,3,FALSE)</f>
        <v>30</v>
      </c>
      <c r="P31">
        <f>VLOOKUP($V31,naming_lookup!$C$1:$H$40,4,FALSE)</f>
        <v>120</v>
      </c>
      <c r="Q31">
        <v>100</v>
      </c>
      <c r="R31" s="2" t="s">
        <v>210</v>
      </c>
      <c r="S31" t="str">
        <f>VLOOKUP($V31,naming_lookup!$C$1:$H$40,5,FALSE)</f>
        <v>rh</v>
      </c>
      <c r="T31" t="str">
        <f>VLOOKUP($V31,naming_lookup!$C$1:$H$40,5,FALSE)</f>
        <v>rh</v>
      </c>
      <c r="U31" t="str">
        <f>VLOOKUP($V31,naming_lookup!$C$1:$H$40,6,FALSE)</f>
        <v>percent</v>
      </c>
      <c r="V31" t="s">
        <v>69</v>
      </c>
      <c r="W31" t="s">
        <v>70</v>
      </c>
      <c r="X31" t="s">
        <v>19</v>
      </c>
    </row>
    <row r="32" spans="1:24" x14ac:dyDescent="0.35">
      <c r="A32" t="s">
        <v>104</v>
      </c>
      <c r="B32" s="1">
        <v>34700</v>
      </c>
      <c r="C32" s="1">
        <v>47484</v>
      </c>
      <c r="D32" s="2" t="str">
        <f t="shared" si="0"/>
        <v>RH_7_1_1</v>
      </c>
      <c r="E32" s="2" t="str">
        <f t="shared" si="1"/>
        <v>RH_7_1_1</v>
      </c>
      <c r="F32" t="s">
        <v>70</v>
      </c>
      <c r="G32" t="s">
        <v>19</v>
      </c>
      <c r="H32" t="s">
        <v>95</v>
      </c>
      <c r="I32" t="s">
        <v>11</v>
      </c>
      <c r="J32">
        <v>7</v>
      </c>
      <c r="K32">
        <v>1</v>
      </c>
      <c r="L32">
        <v>1</v>
      </c>
      <c r="M32" t="s">
        <v>15</v>
      </c>
      <c r="N32" t="s">
        <v>16</v>
      </c>
      <c r="O32">
        <f>VLOOKUP($V32,naming_lookup!$C$1:$H$40,3,FALSE)</f>
        <v>30</v>
      </c>
      <c r="P32">
        <f>VLOOKUP($V32,naming_lookup!$C$1:$H$40,4,FALSE)</f>
        <v>120</v>
      </c>
      <c r="Q32">
        <v>100</v>
      </c>
      <c r="R32" s="2" t="s">
        <v>210</v>
      </c>
      <c r="S32" t="str">
        <f>VLOOKUP($V32,naming_lookup!$C$1:$H$40,5,FALSE)</f>
        <v>rh</v>
      </c>
      <c r="T32" t="str">
        <f>VLOOKUP($V32,naming_lookup!$C$1:$H$40,5,FALSE)</f>
        <v>rh</v>
      </c>
      <c r="U32" t="str">
        <f>VLOOKUP($V32,naming_lookup!$C$1:$H$40,6,FALSE)</f>
        <v>percent</v>
      </c>
      <c r="V32" t="s">
        <v>69</v>
      </c>
      <c r="W32" t="s">
        <v>70</v>
      </c>
      <c r="X32" t="s">
        <v>19</v>
      </c>
    </row>
    <row r="33" spans="1:24" x14ac:dyDescent="0.35">
      <c r="A33" t="s">
        <v>104</v>
      </c>
      <c r="B33" s="1">
        <v>34700</v>
      </c>
      <c r="C33" s="1">
        <v>47484</v>
      </c>
      <c r="D33" s="2" t="str">
        <f t="shared" si="0"/>
        <v>RN_5_1_1</v>
      </c>
      <c r="E33" s="2" t="str">
        <f t="shared" si="1"/>
        <v>RN_5_1_1</v>
      </c>
      <c r="F33" t="s">
        <v>60</v>
      </c>
      <c r="G33" t="s">
        <v>22</v>
      </c>
      <c r="H33" t="s">
        <v>92</v>
      </c>
      <c r="I33" t="s">
        <v>11</v>
      </c>
      <c r="J33">
        <v>5</v>
      </c>
      <c r="K33">
        <v>1</v>
      </c>
      <c r="L33">
        <v>1</v>
      </c>
      <c r="M33" t="s">
        <v>15</v>
      </c>
      <c r="N33" t="s">
        <v>16</v>
      </c>
      <c r="O33">
        <f>VLOOKUP($V33,naming_lookup!$C$1:$H$40,3,FALSE)</f>
        <v>-500</v>
      </c>
      <c r="P33">
        <f>VLOOKUP($V33,naming_lookup!$C$1:$H$40,4,FALSE)</f>
        <v>1200</v>
      </c>
      <c r="Q33">
        <v>100</v>
      </c>
      <c r="R33" s="2" t="s">
        <v>210</v>
      </c>
      <c r="S33" t="str">
        <f>VLOOKUP($V33,naming_lookup!$C$1:$H$40,5,FALSE)</f>
        <v>rn</v>
      </c>
      <c r="T33" t="str">
        <f>VLOOKUP($V33,naming_lookup!$C$1:$H$40,5,FALSE)</f>
        <v>rn</v>
      </c>
      <c r="U33" t="str">
        <f>VLOOKUP($V33,naming_lookup!$C$1:$H$40,6,FALSE)</f>
        <v>W / m^2</v>
      </c>
      <c r="V33" t="s">
        <v>100</v>
      </c>
      <c r="W33" t="s">
        <v>60</v>
      </c>
      <c r="X33" t="s">
        <v>22</v>
      </c>
    </row>
    <row r="34" spans="1:24" x14ac:dyDescent="0.35">
      <c r="A34" t="s">
        <v>104</v>
      </c>
      <c r="B34" s="1">
        <v>34700</v>
      </c>
      <c r="C34" s="1">
        <v>47484</v>
      </c>
      <c r="D34" s="2" t="str">
        <f t="shared" si="0"/>
        <v>SW_IN</v>
      </c>
      <c r="E34" s="2" t="str">
        <f t="shared" si="1"/>
        <v>SW_IN</v>
      </c>
      <c r="F34" s="2" t="s">
        <v>222</v>
      </c>
      <c r="G34" t="s">
        <v>22</v>
      </c>
      <c r="H34" t="s">
        <v>92</v>
      </c>
      <c r="I34" t="s">
        <v>11</v>
      </c>
      <c r="J34" t="s">
        <v>11</v>
      </c>
      <c r="K34" t="s">
        <v>11</v>
      </c>
      <c r="L34" t="s">
        <v>11</v>
      </c>
      <c r="M34" t="s">
        <v>15</v>
      </c>
      <c r="N34" t="s">
        <v>16</v>
      </c>
      <c r="O34">
        <f>VLOOKUP($V34,naming_lookup!$C$1:$H$40,3,FALSE)</f>
        <v>0</v>
      </c>
      <c r="P34">
        <f>VLOOKUP($V34,naming_lookup!$C$1:$H$40,4,FALSE)</f>
        <v>1200</v>
      </c>
      <c r="Q34">
        <v>100</v>
      </c>
      <c r="R34" s="2" t="s">
        <v>210</v>
      </c>
      <c r="S34" t="str">
        <f>VLOOKUP($V34,naming_lookup!$C$1:$H$40,5,FALSE)</f>
        <v>ssrd</v>
      </c>
      <c r="T34" t="str">
        <f>VLOOKUP($V34,naming_lookup!$C$1:$H$40,5,FALSE)</f>
        <v>ssrd</v>
      </c>
      <c r="U34" t="str">
        <f>VLOOKUP($V34,naming_lookup!$C$1:$H$40,6,FALSE)</f>
        <v>W / m^2</v>
      </c>
      <c r="V34" t="s">
        <v>31</v>
      </c>
      <c r="W34" s="2" t="s">
        <v>222</v>
      </c>
      <c r="X34" t="s">
        <v>22</v>
      </c>
    </row>
    <row r="35" spans="1:24" x14ac:dyDescent="0.35">
      <c r="A35" t="s">
        <v>104</v>
      </c>
      <c r="B35" s="1">
        <v>34700</v>
      </c>
      <c r="C35" s="1">
        <v>47484</v>
      </c>
      <c r="D35" s="2" t="str">
        <f t="shared" si="0"/>
        <v>SW_IN_5_1_1</v>
      </c>
      <c r="E35" s="2" t="str">
        <f t="shared" si="1"/>
        <v>SW_IN_5_1_1</v>
      </c>
      <c r="F35" t="s">
        <v>222</v>
      </c>
      <c r="G35" t="s">
        <v>22</v>
      </c>
      <c r="H35" t="s">
        <v>92</v>
      </c>
      <c r="I35" t="s">
        <v>11</v>
      </c>
      <c r="J35">
        <v>5</v>
      </c>
      <c r="K35">
        <v>1</v>
      </c>
      <c r="L35">
        <v>1</v>
      </c>
      <c r="M35" t="s">
        <v>15</v>
      </c>
      <c r="N35" t="s">
        <v>16</v>
      </c>
      <c r="O35">
        <f>VLOOKUP($V35,naming_lookup!$C$1:$H$40,3,FALSE)</f>
        <v>0</v>
      </c>
      <c r="P35">
        <f>VLOOKUP($V35,naming_lookup!$C$1:$H$40,4,FALSE)</f>
        <v>1200</v>
      </c>
      <c r="Q35">
        <v>100</v>
      </c>
      <c r="R35" s="2" t="s">
        <v>210</v>
      </c>
      <c r="S35" t="str">
        <f>VLOOKUP($V35,naming_lookup!$C$1:$H$40,5,FALSE)</f>
        <v>ssrd</v>
      </c>
      <c r="T35" t="str">
        <f>VLOOKUP($V35,naming_lookup!$C$1:$H$40,5,FALSE)</f>
        <v>ssrd</v>
      </c>
      <c r="U35" t="str">
        <f>VLOOKUP($V35,naming_lookup!$C$1:$H$40,6,FALSE)</f>
        <v>W / m^2</v>
      </c>
      <c r="V35" t="s">
        <v>31</v>
      </c>
      <c r="W35" t="s">
        <v>222</v>
      </c>
      <c r="X35" t="s">
        <v>22</v>
      </c>
    </row>
    <row r="36" spans="1:24" x14ac:dyDescent="0.35">
      <c r="A36" t="s">
        <v>104</v>
      </c>
      <c r="B36" s="1">
        <v>34700</v>
      </c>
      <c r="C36" s="1">
        <v>47484</v>
      </c>
      <c r="D36" s="2" t="str">
        <f t="shared" si="0"/>
        <v>SW_IN_7_1_1</v>
      </c>
      <c r="E36" s="2" t="str">
        <f t="shared" si="1"/>
        <v>SW_IN_7_1_1</v>
      </c>
      <c r="F36" t="s">
        <v>222</v>
      </c>
      <c r="G36" t="s">
        <v>22</v>
      </c>
      <c r="H36" t="s">
        <v>92</v>
      </c>
      <c r="I36" t="s">
        <v>11</v>
      </c>
      <c r="J36">
        <v>7</v>
      </c>
      <c r="K36">
        <v>1</v>
      </c>
      <c r="L36">
        <v>1</v>
      </c>
      <c r="M36" t="s">
        <v>15</v>
      </c>
      <c r="N36" t="s">
        <v>16</v>
      </c>
      <c r="O36">
        <f>VLOOKUP($V36,naming_lookup!$C$1:$H$40,3,FALSE)</f>
        <v>0</v>
      </c>
      <c r="P36">
        <f>VLOOKUP($V36,naming_lookup!$C$1:$H$40,4,FALSE)</f>
        <v>1200</v>
      </c>
      <c r="Q36">
        <v>100</v>
      </c>
      <c r="R36" s="2" t="s">
        <v>210</v>
      </c>
      <c r="S36" t="str">
        <f>VLOOKUP($V36,naming_lookup!$C$1:$H$40,5,FALSE)</f>
        <v>ssrd</v>
      </c>
      <c r="T36" t="str">
        <f>VLOOKUP($V36,naming_lookup!$C$1:$H$40,5,FALSE)</f>
        <v>ssrd</v>
      </c>
      <c r="U36" t="str">
        <f>VLOOKUP($V36,naming_lookup!$C$1:$H$40,6,FALSE)</f>
        <v>W / m^2</v>
      </c>
      <c r="V36" t="s">
        <v>31</v>
      </c>
      <c r="W36" t="s">
        <v>222</v>
      </c>
      <c r="X36" t="s">
        <v>22</v>
      </c>
    </row>
    <row r="37" spans="1:24" x14ac:dyDescent="0.35">
      <c r="A37" t="s">
        <v>104</v>
      </c>
      <c r="B37" s="1">
        <v>34700</v>
      </c>
      <c r="C37" s="1">
        <v>47484</v>
      </c>
      <c r="D37" s="2" t="str">
        <f t="shared" si="0"/>
        <v>SW_OUT</v>
      </c>
      <c r="E37" s="2" t="str">
        <f t="shared" si="1"/>
        <v>SW_OUT</v>
      </c>
      <c r="F37" t="s">
        <v>223</v>
      </c>
      <c r="G37" t="s">
        <v>22</v>
      </c>
      <c r="H37" t="s">
        <v>92</v>
      </c>
      <c r="I37" t="s">
        <v>11</v>
      </c>
      <c r="J37" t="s">
        <v>11</v>
      </c>
      <c r="K37" t="s">
        <v>11</v>
      </c>
      <c r="L37" t="s">
        <v>11</v>
      </c>
      <c r="M37" t="s">
        <v>15</v>
      </c>
      <c r="N37" t="s">
        <v>16</v>
      </c>
      <c r="O37">
        <f>VLOOKUP($V37,naming_lookup!$C$1:$H$40,3,FALSE)</f>
        <v>0</v>
      </c>
      <c r="P37">
        <f>VLOOKUP($V37,naming_lookup!$C$1:$H$40,4,FALSE)</f>
        <v>300</v>
      </c>
      <c r="Q37">
        <v>100</v>
      </c>
      <c r="R37" s="2" t="s">
        <v>210</v>
      </c>
      <c r="S37" t="str">
        <f>VLOOKUP($V37,naming_lookup!$C$1:$H$40,5,FALSE)</f>
        <v>ssru</v>
      </c>
      <c r="T37" t="str">
        <f>VLOOKUP($V37,naming_lookup!$C$1:$H$40,5,FALSE)</f>
        <v>ssru</v>
      </c>
      <c r="U37" t="str">
        <f>VLOOKUP($V37,naming_lookup!$C$1:$H$40,6,FALSE)</f>
        <v>W / m^2</v>
      </c>
      <c r="V37" t="s">
        <v>33</v>
      </c>
      <c r="W37" t="s">
        <v>223</v>
      </c>
      <c r="X37" t="s">
        <v>22</v>
      </c>
    </row>
    <row r="38" spans="1:24" x14ac:dyDescent="0.35">
      <c r="A38" t="s">
        <v>104</v>
      </c>
      <c r="B38" s="1">
        <v>34700</v>
      </c>
      <c r="C38" s="1">
        <v>47484</v>
      </c>
      <c r="D38" s="2" t="str">
        <f t="shared" si="0"/>
        <v>SW_OUT_5_1_1</v>
      </c>
      <c r="E38" s="2" t="str">
        <f t="shared" si="1"/>
        <v>SW_OUT_5_1_1</v>
      </c>
      <c r="F38" t="s">
        <v>223</v>
      </c>
      <c r="G38" t="s">
        <v>22</v>
      </c>
      <c r="H38" t="s">
        <v>92</v>
      </c>
      <c r="I38" t="s">
        <v>11</v>
      </c>
      <c r="J38">
        <v>5</v>
      </c>
      <c r="K38">
        <v>1</v>
      </c>
      <c r="L38">
        <v>1</v>
      </c>
      <c r="M38" t="s">
        <v>15</v>
      </c>
      <c r="N38" t="s">
        <v>16</v>
      </c>
      <c r="O38">
        <f>VLOOKUP($V38,naming_lookup!$C$1:$H$40,3,FALSE)</f>
        <v>0</v>
      </c>
      <c r="P38">
        <f>VLOOKUP($V38,naming_lookup!$C$1:$H$40,4,FALSE)</f>
        <v>300</v>
      </c>
      <c r="Q38">
        <v>100</v>
      </c>
      <c r="R38" s="2" t="s">
        <v>210</v>
      </c>
      <c r="S38" t="str">
        <f>VLOOKUP($V38,naming_lookup!$C$1:$H$40,5,FALSE)</f>
        <v>ssru</v>
      </c>
      <c r="T38" t="str">
        <f>VLOOKUP($V38,naming_lookup!$C$1:$H$40,5,FALSE)</f>
        <v>ssru</v>
      </c>
      <c r="U38" t="str">
        <f>VLOOKUP($V38,naming_lookup!$C$1:$H$40,6,FALSE)</f>
        <v>W / m^2</v>
      </c>
      <c r="V38" t="s">
        <v>33</v>
      </c>
      <c r="W38" t="s">
        <v>223</v>
      </c>
      <c r="X38" t="s">
        <v>22</v>
      </c>
    </row>
    <row r="39" spans="1:24" x14ac:dyDescent="0.35">
      <c r="A39" t="s">
        <v>104</v>
      </c>
      <c r="B39" s="1">
        <v>34700</v>
      </c>
      <c r="C39" s="1">
        <v>47484</v>
      </c>
      <c r="D39" s="2" t="str">
        <f t="shared" si="0"/>
        <v>SWC</v>
      </c>
      <c r="E39" s="2" t="str">
        <f t="shared" si="1"/>
        <v>SWC</v>
      </c>
      <c r="F39" t="s">
        <v>18</v>
      </c>
      <c r="G39" t="s">
        <v>19</v>
      </c>
      <c r="H39" t="s">
        <v>96</v>
      </c>
      <c r="I39" t="s">
        <v>11</v>
      </c>
      <c r="J39" t="s">
        <v>11</v>
      </c>
      <c r="K39" t="s">
        <v>11</v>
      </c>
      <c r="L39" t="s">
        <v>11</v>
      </c>
      <c r="M39" t="s">
        <v>15</v>
      </c>
      <c r="N39" t="s">
        <v>16</v>
      </c>
      <c r="O39">
        <f>VLOOKUP($V39,naming_lookup!$C$1:$H$40,3,FALSE)</f>
        <v>0</v>
      </c>
      <c r="P39">
        <f>VLOOKUP($V39,naming_lookup!$C$1:$H$40,4,FALSE)</f>
        <v>100</v>
      </c>
      <c r="Q39">
        <v>100</v>
      </c>
      <c r="R39" s="2" t="s">
        <v>210</v>
      </c>
      <c r="S39" t="str">
        <f>VLOOKUP($V39,naming_lookup!$C$1:$H$40,5,FALSE)</f>
        <v>swvl1</v>
      </c>
      <c r="T39" t="str">
        <f>VLOOKUP($V39,naming_lookup!$C$1:$H$40,5,FALSE)</f>
        <v>swvl1</v>
      </c>
      <c r="U39" t="str">
        <f>VLOOKUP($V39,naming_lookup!$C$1:$H$40,6,FALSE)</f>
        <v>percent</v>
      </c>
      <c r="V39" t="s">
        <v>17</v>
      </c>
      <c r="W39" t="s">
        <v>18</v>
      </c>
      <c r="X39" t="s">
        <v>19</v>
      </c>
    </row>
    <row r="40" spans="1:24" x14ac:dyDescent="0.35">
      <c r="A40" t="s">
        <v>104</v>
      </c>
      <c r="B40" s="1">
        <v>34700</v>
      </c>
      <c r="C40" s="1">
        <v>47484</v>
      </c>
      <c r="D40" s="2" t="str">
        <f t="shared" si="0"/>
        <v>SWC_4_1_1</v>
      </c>
      <c r="E40" s="2" t="str">
        <f t="shared" si="1"/>
        <v>SWC_4_1_1</v>
      </c>
      <c r="F40" t="s">
        <v>18</v>
      </c>
      <c r="G40" t="s">
        <v>19</v>
      </c>
      <c r="H40" t="s">
        <v>96</v>
      </c>
      <c r="I40" t="s">
        <v>11</v>
      </c>
      <c r="J40">
        <v>4</v>
      </c>
      <c r="K40">
        <v>1</v>
      </c>
      <c r="L40">
        <v>1</v>
      </c>
      <c r="M40" t="s">
        <v>15</v>
      </c>
      <c r="N40" t="s">
        <v>16</v>
      </c>
      <c r="O40">
        <f>VLOOKUP($V40,naming_lookup!$C$1:$H$40,3,FALSE)</f>
        <v>0</v>
      </c>
      <c r="P40">
        <f>VLOOKUP($V40,naming_lookup!$C$1:$H$40,4,FALSE)</f>
        <v>100</v>
      </c>
      <c r="Q40">
        <v>100</v>
      </c>
      <c r="R40" s="2" t="s">
        <v>210</v>
      </c>
      <c r="S40" t="str">
        <f>VLOOKUP($V40,naming_lookup!$C$1:$H$40,5,FALSE)</f>
        <v>swvl1</v>
      </c>
      <c r="T40" t="str">
        <f>VLOOKUP($V40,naming_lookup!$C$1:$H$40,5,FALSE)</f>
        <v>swvl1</v>
      </c>
      <c r="U40" t="str">
        <f>VLOOKUP($V40,naming_lookup!$C$1:$H$40,6,FALSE)</f>
        <v>percent</v>
      </c>
      <c r="V40" t="s">
        <v>17</v>
      </c>
      <c r="W40" t="s">
        <v>18</v>
      </c>
      <c r="X40" t="s">
        <v>19</v>
      </c>
    </row>
    <row r="41" spans="1:24" x14ac:dyDescent="0.35">
      <c r="A41" t="s">
        <v>104</v>
      </c>
      <c r="B41" s="1">
        <v>34700</v>
      </c>
      <c r="C41" s="1">
        <v>47484</v>
      </c>
      <c r="D41" s="2" t="str">
        <f t="shared" si="0"/>
        <v>SWC_4_2_1</v>
      </c>
      <c r="E41" s="2" t="str">
        <f t="shared" si="1"/>
        <v>SWC_4_2_1</v>
      </c>
      <c r="F41" t="s">
        <v>18</v>
      </c>
      <c r="G41" t="s">
        <v>19</v>
      </c>
      <c r="H41" t="s">
        <v>96</v>
      </c>
      <c r="I41" t="s">
        <v>11</v>
      </c>
      <c r="J41">
        <v>4</v>
      </c>
      <c r="K41">
        <v>2</v>
      </c>
      <c r="L41">
        <v>1</v>
      </c>
      <c r="M41" t="s">
        <v>15</v>
      </c>
      <c r="N41" t="s">
        <v>16</v>
      </c>
      <c r="O41">
        <f>VLOOKUP($V41,naming_lookup!$C$1:$H$40,3,FALSE)</f>
        <v>0</v>
      </c>
      <c r="P41">
        <f>VLOOKUP($V41,naming_lookup!$C$1:$H$40,4,FALSE)</f>
        <v>100</v>
      </c>
      <c r="Q41">
        <v>100</v>
      </c>
      <c r="R41" s="2" t="s">
        <v>210</v>
      </c>
      <c r="S41" t="str">
        <f>VLOOKUP($V41,naming_lookup!$C$1:$H$40,5,FALSE)</f>
        <v>swvl1</v>
      </c>
      <c r="T41" t="str">
        <f>VLOOKUP($V41,naming_lookup!$C$1:$H$40,5,FALSE)</f>
        <v>swvl1</v>
      </c>
      <c r="U41" t="str">
        <f>VLOOKUP($V41,naming_lookup!$C$1:$H$40,6,FALSE)</f>
        <v>percent</v>
      </c>
      <c r="V41" t="s">
        <v>17</v>
      </c>
      <c r="W41" t="s">
        <v>18</v>
      </c>
      <c r="X41" t="s">
        <v>19</v>
      </c>
    </row>
    <row r="42" spans="1:24" x14ac:dyDescent="0.35">
      <c r="A42" t="s">
        <v>104</v>
      </c>
      <c r="B42" s="1">
        <v>34700</v>
      </c>
      <c r="C42" s="1">
        <v>47484</v>
      </c>
      <c r="D42" s="2" t="str">
        <f t="shared" si="0"/>
        <v>SWC_4_3_1</v>
      </c>
      <c r="E42" s="2" t="str">
        <f t="shared" si="1"/>
        <v>SWC_4_3_1</v>
      </c>
      <c r="F42" t="s">
        <v>18</v>
      </c>
      <c r="G42" t="s">
        <v>19</v>
      </c>
      <c r="H42" t="s">
        <v>96</v>
      </c>
      <c r="I42" t="s">
        <v>11</v>
      </c>
      <c r="J42">
        <v>4</v>
      </c>
      <c r="K42">
        <v>3</v>
      </c>
      <c r="L42">
        <v>1</v>
      </c>
      <c r="M42" t="s">
        <v>15</v>
      </c>
      <c r="N42" t="s">
        <v>16</v>
      </c>
      <c r="O42">
        <f>VLOOKUP($V42,naming_lookup!$C$1:$H$40,3,FALSE)</f>
        <v>0</v>
      </c>
      <c r="P42">
        <f>VLOOKUP($V42,naming_lookup!$C$1:$H$40,4,FALSE)</f>
        <v>100</v>
      </c>
      <c r="Q42">
        <v>100</v>
      </c>
      <c r="R42" s="2" t="s">
        <v>210</v>
      </c>
      <c r="S42" t="str">
        <f>VLOOKUP($V42,naming_lookup!$C$1:$H$40,5,FALSE)</f>
        <v>swvl1</v>
      </c>
      <c r="T42" t="str">
        <f>VLOOKUP($V42,naming_lookup!$C$1:$H$40,5,FALSE)</f>
        <v>swvl1</v>
      </c>
      <c r="U42" t="str">
        <f>VLOOKUP($V42,naming_lookup!$C$1:$H$40,6,FALSE)</f>
        <v>percent</v>
      </c>
      <c r="V42" t="s">
        <v>17</v>
      </c>
      <c r="W42" t="s">
        <v>18</v>
      </c>
      <c r="X42" t="s">
        <v>19</v>
      </c>
    </row>
    <row r="43" spans="1:24" x14ac:dyDescent="0.35">
      <c r="A43" t="s">
        <v>104</v>
      </c>
      <c r="B43" s="1">
        <v>34700</v>
      </c>
      <c r="C43" s="1">
        <v>47484</v>
      </c>
      <c r="D43" s="2" t="str">
        <f t="shared" si="0"/>
        <v>SWC_4_4_1</v>
      </c>
      <c r="E43" s="2" t="str">
        <f t="shared" si="1"/>
        <v>SWC_4_4_1</v>
      </c>
      <c r="F43" t="s">
        <v>18</v>
      </c>
      <c r="G43" t="s">
        <v>19</v>
      </c>
      <c r="H43" t="s">
        <v>96</v>
      </c>
      <c r="I43" t="s">
        <v>11</v>
      </c>
      <c r="J43">
        <v>4</v>
      </c>
      <c r="K43">
        <v>4</v>
      </c>
      <c r="L43">
        <v>1</v>
      </c>
      <c r="M43" t="s">
        <v>15</v>
      </c>
      <c r="N43" t="s">
        <v>16</v>
      </c>
      <c r="O43">
        <f>VLOOKUP($V43,naming_lookup!$C$1:$H$40,3,FALSE)</f>
        <v>0</v>
      </c>
      <c r="P43">
        <f>VLOOKUP($V43,naming_lookup!$C$1:$H$40,4,FALSE)</f>
        <v>100</v>
      </c>
      <c r="Q43">
        <v>100</v>
      </c>
      <c r="R43" s="2" t="s">
        <v>210</v>
      </c>
      <c r="S43" t="str">
        <f>VLOOKUP($V43,naming_lookup!$C$1:$H$40,5,FALSE)</f>
        <v>swvl1</v>
      </c>
      <c r="T43" t="str">
        <f>VLOOKUP($V43,naming_lookup!$C$1:$H$40,5,FALSE)</f>
        <v>swvl1</v>
      </c>
      <c r="U43" t="str">
        <f>VLOOKUP($V43,naming_lookup!$C$1:$H$40,6,FALSE)</f>
        <v>percent</v>
      </c>
      <c r="V43" t="s">
        <v>17</v>
      </c>
      <c r="W43" t="s">
        <v>18</v>
      </c>
      <c r="X43" t="s">
        <v>19</v>
      </c>
    </row>
    <row r="44" spans="1:24" x14ac:dyDescent="0.35">
      <c r="A44" t="s">
        <v>104</v>
      </c>
      <c r="B44" s="1">
        <v>34700</v>
      </c>
      <c r="C44" s="1">
        <v>47484</v>
      </c>
      <c r="D44" s="2" t="str">
        <f t="shared" si="0"/>
        <v>TA_2_1_1</v>
      </c>
      <c r="E44" s="2" t="str">
        <f t="shared" si="1"/>
        <v>TA_2_1_1</v>
      </c>
      <c r="F44" t="s">
        <v>68</v>
      </c>
      <c r="G44" t="s">
        <v>14</v>
      </c>
      <c r="H44" t="s">
        <v>97</v>
      </c>
      <c r="I44" t="s">
        <v>11</v>
      </c>
      <c r="J44">
        <v>2</v>
      </c>
      <c r="K44">
        <v>1</v>
      </c>
      <c r="L44">
        <v>1</v>
      </c>
      <c r="M44" t="s">
        <v>15</v>
      </c>
      <c r="N44" t="s">
        <v>16</v>
      </c>
      <c r="O44">
        <f>VLOOKUP($V44,naming_lookup!$C$1:$H$40,3,FALSE)</f>
        <v>-40</v>
      </c>
      <c r="P44">
        <f>VLOOKUP($V44,naming_lookup!$C$1:$H$40,4,FALSE)</f>
        <v>50</v>
      </c>
      <c r="Q44">
        <v>100</v>
      </c>
      <c r="R44" s="2" t="s">
        <v>210</v>
      </c>
      <c r="S44" t="str">
        <f>VLOOKUP($V44,naming_lookup!$C$1:$H$40,5,FALSE)</f>
        <v>t2m</v>
      </c>
      <c r="T44" t="str">
        <f>VLOOKUP($V44,naming_lookup!$C$1:$H$40,5,FALSE)</f>
        <v>t2m</v>
      </c>
      <c r="U44" t="str">
        <f>VLOOKUP($V44,naming_lookup!$C$1:$H$40,6,FALSE)</f>
        <v>degree_C</v>
      </c>
      <c r="V44" t="s">
        <v>67</v>
      </c>
      <c r="W44" t="s">
        <v>68</v>
      </c>
      <c r="X44" t="s">
        <v>14</v>
      </c>
    </row>
    <row r="45" spans="1:24" x14ac:dyDescent="0.35">
      <c r="A45" t="s">
        <v>104</v>
      </c>
      <c r="B45" s="1">
        <v>34700</v>
      </c>
      <c r="C45" s="1">
        <v>47484</v>
      </c>
      <c r="D45" s="2" t="str">
        <f t="shared" si="0"/>
        <v>TA_4_1_1</v>
      </c>
      <c r="E45" s="2" t="str">
        <f t="shared" si="1"/>
        <v>TA_4_1_1</v>
      </c>
      <c r="F45" t="s">
        <v>68</v>
      </c>
      <c r="G45" t="s">
        <v>14</v>
      </c>
      <c r="H45" t="s">
        <v>97</v>
      </c>
      <c r="I45" t="s">
        <v>11</v>
      </c>
      <c r="J45">
        <v>4</v>
      </c>
      <c r="K45">
        <v>1</v>
      </c>
      <c r="L45">
        <v>1</v>
      </c>
      <c r="M45" t="s">
        <v>15</v>
      </c>
      <c r="N45" t="s">
        <v>16</v>
      </c>
      <c r="O45">
        <f>VLOOKUP($V45,naming_lookup!$C$1:$H$40,3,FALSE)</f>
        <v>-40</v>
      </c>
      <c r="P45">
        <f>VLOOKUP($V45,naming_lookup!$C$1:$H$40,4,FALSE)</f>
        <v>50</v>
      </c>
      <c r="Q45">
        <v>100</v>
      </c>
      <c r="R45" s="2" t="s">
        <v>210</v>
      </c>
      <c r="S45" t="str">
        <f>VLOOKUP($V45,naming_lookup!$C$1:$H$40,5,FALSE)</f>
        <v>t2m</v>
      </c>
      <c r="T45" t="str">
        <f>VLOOKUP($V45,naming_lookup!$C$1:$H$40,5,FALSE)</f>
        <v>t2m</v>
      </c>
      <c r="U45" t="str">
        <f>VLOOKUP($V45,naming_lookup!$C$1:$H$40,6,FALSE)</f>
        <v>degree_C</v>
      </c>
      <c r="V45" t="s">
        <v>67</v>
      </c>
      <c r="W45" t="s">
        <v>68</v>
      </c>
      <c r="X45" t="s">
        <v>14</v>
      </c>
    </row>
    <row r="46" spans="1:24" x14ac:dyDescent="0.35">
      <c r="A46" t="s">
        <v>104</v>
      </c>
      <c r="B46" s="1">
        <v>34700</v>
      </c>
      <c r="C46" s="1">
        <v>47484</v>
      </c>
      <c r="D46" s="2" t="str">
        <f t="shared" si="0"/>
        <v>TA_7_1_1</v>
      </c>
      <c r="E46" s="2" t="str">
        <f t="shared" si="1"/>
        <v>TA_7_1_1</v>
      </c>
      <c r="F46" t="s">
        <v>68</v>
      </c>
      <c r="G46" t="s">
        <v>14</v>
      </c>
      <c r="H46" t="s">
        <v>97</v>
      </c>
      <c r="I46" t="s">
        <v>11</v>
      </c>
      <c r="J46">
        <v>7</v>
      </c>
      <c r="K46">
        <v>1</v>
      </c>
      <c r="L46">
        <v>1</v>
      </c>
      <c r="M46" t="s">
        <v>15</v>
      </c>
      <c r="N46" t="s">
        <v>16</v>
      </c>
      <c r="O46">
        <f>VLOOKUP($V46,naming_lookup!$C$1:$H$40,3,FALSE)</f>
        <v>-40</v>
      </c>
      <c r="P46">
        <f>VLOOKUP($V46,naming_lookup!$C$1:$H$40,4,FALSE)</f>
        <v>50</v>
      </c>
      <c r="Q46">
        <v>100</v>
      </c>
      <c r="R46" s="2" t="s">
        <v>210</v>
      </c>
      <c r="S46" t="str">
        <f>VLOOKUP($V46,naming_lookup!$C$1:$H$40,5,FALSE)</f>
        <v>t2m</v>
      </c>
      <c r="T46" t="str">
        <f>VLOOKUP($V46,naming_lookup!$C$1:$H$40,5,FALSE)</f>
        <v>t2m</v>
      </c>
      <c r="U46" t="str">
        <f>VLOOKUP($V46,naming_lookup!$C$1:$H$40,6,FALSE)</f>
        <v>degree_C</v>
      </c>
      <c r="V46" t="s">
        <v>67</v>
      </c>
      <c r="W46" t="s">
        <v>68</v>
      </c>
      <c r="X46" t="s">
        <v>14</v>
      </c>
    </row>
    <row r="47" spans="1:24" x14ac:dyDescent="0.35">
      <c r="A47" t="s">
        <v>104</v>
      </c>
      <c r="B47" s="1">
        <v>34700</v>
      </c>
      <c r="C47" s="1">
        <v>47484</v>
      </c>
      <c r="D47" s="2" t="str">
        <f t="shared" si="0"/>
        <v>TIMESTAMP</v>
      </c>
      <c r="E47" s="2" t="s">
        <v>85</v>
      </c>
      <c r="F47" s="2" t="s">
        <v>86</v>
      </c>
      <c r="H47" t="s">
        <v>91</v>
      </c>
      <c r="I47" s="2" t="s">
        <v>88</v>
      </c>
      <c r="J47" t="s">
        <v>11</v>
      </c>
      <c r="K47" t="s">
        <v>11</v>
      </c>
      <c r="L47" t="s">
        <v>11</v>
      </c>
      <c r="M47" t="s">
        <v>11</v>
      </c>
      <c r="N47" t="s">
        <v>11</v>
      </c>
      <c r="O47" t="e">
        <f>VLOOKUP($V47,naming_lookup!$C$1:$H$40,3,FALSE)</f>
        <v>#N/A</v>
      </c>
      <c r="P47" t="e">
        <f>VLOOKUP($V47,naming_lookup!$C$1:$H$40,4,FALSE)</f>
        <v>#N/A</v>
      </c>
      <c r="Q47" t="s">
        <v>11</v>
      </c>
      <c r="R47" s="2" t="s">
        <v>11</v>
      </c>
      <c r="S47" t="str">
        <f>VLOOKUP($V47,naming_lookup!$C$1:$H$40,5,FALSE)</f>
        <v>time</v>
      </c>
      <c r="T47" t="str">
        <f>VLOOKUP($V47,naming_lookup!$C$1:$H$40,5,FALSE)</f>
        <v>time</v>
      </c>
      <c r="U47" t="str">
        <f>VLOOKUP($V47,naming_lookup!$C$1:$H$40,6,FALSE)</f>
        <v>NA</v>
      </c>
      <c r="V47" t="s">
        <v>85</v>
      </c>
      <c r="W47" s="2" t="s">
        <v>86</v>
      </c>
    </row>
    <row r="48" spans="1:24" x14ac:dyDescent="0.35">
      <c r="A48" t="s">
        <v>104</v>
      </c>
      <c r="B48" s="1">
        <v>34700</v>
      </c>
      <c r="C48" s="1">
        <v>47484</v>
      </c>
      <c r="D48" s="2" t="str">
        <f t="shared" si="0"/>
        <v>WD_6_1_1</v>
      </c>
      <c r="E48" s="2" t="str">
        <f t="shared" si="1"/>
        <v>WD_6_1_1</v>
      </c>
      <c r="F48" t="s">
        <v>55</v>
      </c>
      <c r="G48" t="s">
        <v>56</v>
      </c>
      <c r="H48" t="s">
        <v>99</v>
      </c>
      <c r="I48" t="s">
        <v>11</v>
      </c>
      <c r="J48">
        <v>6</v>
      </c>
      <c r="K48">
        <v>1</v>
      </c>
      <c r="L48">
        <v>1</v>
      </c>
      <c r="M48" t="s">
        <v>15</v>
      </c>
      <c r="N48" t="s">
        <v>16</v>
      </c>
      <c r="O48">
        <f>VLOOKUP($V48,naming_lookup!$C$1:$H$40,3,FALSE)</f>
        <v>0</v>
      </c>
      <c r="P48">
        <f>VLOOKUP($V48,naming_lookup!$C$1:$H$40,4,FALSE)</f>
        <v>360</v>
      </c>
      <c r="Q48">
        <v>100</v>
      </c>
      <c r="R48" s="2" t="s">
        <v>210</v>
      </c>
      <c r="S48" t="str">
        <f>VLOOKUP($V48,naming_lookup!$C$1:$H$40,5,FALSE)</f>
        <v>wd</v>
      </c>
      <c r="T48" t="str">
        <f>VLOOKUP($V48,naming_lookup!$C$1:$H$40,5,FALSE)</f>
        <v>wd</v>
      </c>
      <c r="U48" t="str">
        <f>VLOOKUP($V48,naming_lookup!$C$1:$H$40,6,FALSE)</f>
        <v>degree</v>
      </c>
      <c r="V48" t="s">
        <v>54</v>
      </c>
      <c r="W48" t="s">
        <v>55</v>
      </c>
      <c r="X48" t="s">
        <v>56</v>
      </c>
    </row>
    <row r="49" spans="1:24" x14ac:dyDescent="0.35">
      <c r="A49" t="s">
        <v>104</v>
      </c>
      <c r="B49" s="1">
        <v>34700</v>
      </c>
      <c r="C49" s="1">
        <v>47484</v>
      </c>
      <c r="D49" s="2" t="str">
        <f t="shared" si="0"/>
        <v>WS_6_1_1</v>
      </c>
      <c r="E49" s="2" t="str">
        <f t="shared" si="1"/>
        <v>WS_6_1_1</v>
      </c>
      <c r="F49" t="s">
        <v>52</v>
      </c>
      <c r="G49" t="s">
        <v>53</v>
      </c>
      <c r="H49" s="2" t="s">
        <v>98</v>
      </c>
      <c r="I49" t="s">
        <v>11</v>
      </c>
      <c r="J49">
        <v>6</v>
      </c>
      <c r="K49">
        <v>1</v>
      </c>
      <c r="L49">
        <v>1</v>
      </c>
      <c r="M49" t="s">
        <v>15</v>
      </c>
      <c r="N49" t="s">
        <v>16</v>
      </c>
      <c r="O49">
        <f>VLOOKUP($V49,naming_lookup!$C$1:$H$40,3,FALSE)</f>
        <v>0</v>
      </c>
      <c r="P49">
        <f>VLOOKUP($V49,naming_lookup!$C$1:$H$40,4,FALSE)</f>
        <v>30</v>
      </c>
      <c r="Q49">
        <v>100</v>
      </c>
      <c r="R49" s="2" t="s">
        <v>210</v>
      </c>
      <c r="S49" t="str">
        <f>VLOOKUP($V49,naming_lookup!$C$1:$H$40,5,FALSE)</f>
        <v>ws</v>
      </c>
      <c r="T49" t="str">
        <f>VLOOKUP($V49,naming_lookup!$C$1:$H$40,5,FALSE)</f>
        <v>ws</v>
      </c>
      <c r="U49" t="str">
        <f>VLOOKUP($V49,naming_lookup!$C$1:$H$40,6,FALSE)</f>
        <v>m / s</v>
      </c>
      <c r="V49" t="s">
        <v>51</v>
      </c>
      <c r="W49" t="s">
        <v>52</v>
      </c>
      <c r="X49" t="s">
        <v>53</v>
      </c>
    </row>
    <row r="50" spans="1:24" x14ac:dyDescent="0.35">
      <c r="A50" t="s">
        <v>104</v>
      </c>
      <c r="B50" s="1">
        <v>34700</v>
      </c>
      <c r="C50" s="1">
        <v>47484</v>
      </c>
      <c r="D50" s="2" t="str">
        <f t="shared" si="0"/>
        <v>WD_7_1_1</v>
      </c>
      <c r="E50" s="2" t="str">
        <f t="shared" si="1"/>
        <v>WD_7_1_1</v>
      </c>
      <c r="F50" t="s">
        <v>55</v>
      </c>
      <c r="G50" t="s">
        <v>56</v>
      </c>
      <c r="H50" t="s">
        <v>99</v>
      </c>
      <c r="I50" t="s">
        <v>11</v>
      </c>
      <c r="J50">
        <v>7</v>
      </c>
      <c r="K50">
        <v>1</v>
      </c>
      <c r="L50">
        <v>1</v>
      </c>
      <c r="M50" t="s">
        <v>15</v>
      </c>
      <c r="N50" t="s">
        <v>16</v>
      </c>
      <c r="O50">
        <f>VLOOKUP($V50,naming_lookup!$C$1:$H$40,3,FALSE)</f>
        <v>0</v>
      </c>
      <c r="P50">
        <f>VLOOKUP($V50,naming_lookup!$C$1:$H$40,4,FALSE)</f>
        <v>360</v>
      </c>
      <c r="Q50">
        <v>100</v>
      </c>
      <c r="R50" s="2" t="s">
        <v>210</v>
      </c>
      <c r="S50" t="str">
        <f>VLOOKUP($V50,naming_lookup!$C$1:$H$40,5,FALSE)</f>
        <v>wd</v>
      </c>
      <c r="T50" t="str">
        <f>VLOOKUP($V50,naming_lookup!$C$1:$H$40,5,FALSE)</f>
        <v>wd</v>
      </c>
      <c r="U50" t="str">
        <f>VLOOKUP($V50,naming_lookup!$C$1:$H$40,6,FALSE)</f>
        <v>degree</v>
      </c>
      <c r="V50" t="s">
        <v>54</v>
      </c>
      <c r="W50" t="s">
        <v>55</v>
      </c>
      <c r="X50" t="s">
        <v>56</v>
      </c>
    </row>
    <row r="51" spans="1:24" x14ac:dyDescent="0.35">
      <c r="A51" t="s">
        <v>104</v>
      </c>
      <c r="B51" s="1">
        <v>34700</v>
      </c>
      <c r="C51" s="1">
        <v>47484</v>
      </c>
      <c r="D51" s="2" t="str">
        <f t="shared" si="0"/>
        <v>WS_7_1_1</v>
      </c>
      <c r="E51" s="2" t="str">
        <f t="shared" si="1"/>
        <v>WS_7_1_1</v>
      </c>
      <c r="F51" t="s">
        <v>52</v>
      </c>
      <c r="G51" t="s">
        <v>53</v>
      </c>
      <c r="H51" s="2" t="s">
        <v>98</v>
      </c>
      <c r="I51" t="s">
        <v>11</v>
      </c>
      <c r="J51">
        <v>7</v>
      </c>
      <c r="K51">
        <v>1</v>
      </c>
      <c r="L51">
        <v>1</v>
      </c>
      <c r="M51" t="s">
        <v>15</v>
      </c>
      <c r="N51" t="s">
        <v>16</v>
      </c>
      <c r="O51">
        <f>VLOOKUP($V51,naming_lookup!$C$1:$H$40,3,FALSE)</f>
        <v>0</v>
      </c>
      <c r="P51">
        <f>VLOOKUP($V51,naming_lookup!$C$1:$H$40,4,FALSE)</f>
        <v>30</v>
      </c>
      <c r="Q51">
        <v>100</v>
      </c>
      <c r="R51" s="2" t="s">
        <v>210</v>
      </c>
      <c r="S51" t="str">
        <f>VLOOKUP($V51,naming_lookup!$C$1:$H$40,5,FALSE)</f>
        <v>ws</v>
      </c>
      <c r="T51" t="str">
        <f>VLOOKUP($V51,naming_lookup!$C$1:$H$40,5,FALSE)</f>
        <v>ws</v>
      </c>
      <c r="U51" t="str">
        <f>VLOOKUP($V51,naming_lookup!$C$1:$H$40,6,FALSE)</f>
        <v>m / s</v>
      </c>
      <c r="V51" t="s">
        <v>51</v>
      </c>
      <c r="W51" t="s">
        <v>52</v>
      </c>
      <c r="X51" t="s">
        <v>53</v>
      </c>
    </row>
    <row r="52" spans="1:24" x14ac:dyDescent="0.35">
      <c r="A52" t="s">
        <v>104</v>
      </c>
      <c r="B52" s="1">
        <v>34700</v>
      </c>
      <c r="C52" s="1">
        <v>47484</v>
      </c>
      <c r="D52" s="2" t="str">
        <f t="shared" si="0"/>
        <v>WTD</v>
      </c>
      <c r="E52" s="2" t="str">
        <f t="shared" si="1"/>
        <v>WTD</v>
      </c>
      <c r="F52" t="s">
        <v>24</v>
      </c>
      <c r="G52" t="s">
        <v>25</v>
      </c>
      <c r="H52" t="s">
        <v>90</v>
      </c>
      <c r="I52" t="s">
        <v>11</v>
      </c>
      <c r="J52" t="s">
        <v>11</v>
      </c>
      <c r="K52" t="s">
        <v>11</v>
      </c>
      <c r="L52" t="s">
        <v>11</v>
      </c>
      <c r="M52" t="s">
        <v>15</v>
      </c>
      <c r="N52" t="s">
        <v>16</v>
      </c>
      <c r="O52">
        <f>VLOOKUP($V52,naming_lookup!$C$1:$H$40,3,FALSE)</f>
        <v>-10</v>
      </c>
      <c r="P52">
        <f>VLOOKUP($V52,naming_lookup!$C$1:$H$40,4,FALSE)</f>
        <v>10</v>
      </c>
      <c r="Q52">
        <v>100</v>
      </c>
      <c r="R52" s="2" t="s">
        <v>210</v>
      </c>
      <c r="S52" t="str">
        <f>VLOOKUP($V52,naming_lookup!$C$1:$H$40,5,FALSE)</f>
        <v>swvl1</v>
      </c>
      <c r="T52" t="str">
        <f>VLOOKUP($V52,naming_lookup!$C$1:$H$40,5,FALSE)</f>
        <v>swvl1</v>
      </c>
      <c r="U52" t="str">
        <f>VLOOKUP($V52,naming_lookup!$C$1:$H$40,6,FALSE)</f>
        <v>m</v>
      </c>
      <c r="V52" t="s">
        <v>23</v>
      </c>
      <c r="W52" t="s">
        <v>24</v>
      </c>
      <c r="X52" t="s">
        <v>25</v>
      </c>
    </row>
    <row r="53" spans="1:24" x14ac:dyDescent="0.35">
      <c r="A53" t="s">
        <v>104</v>
      </c>
      <c r="B53" s="1">
        <v>34700</v>
      </c>
      <c r="C53" s="1">
        <v>47484</v>
      </c>
      <c r="D53" s="2" t="str">
        <f t="shared" si="0"/>
        <v>WTD_4_1_1</v>
      </c>
      <c r="E53" s="2" t="str">
        <f t="shared" si="1"/>
        <v>WTD_4_1_1</v>
      </c>
      <c r="F53" t="s">
        <v>24</v>
      </c>
      <c r="G53" t="s">
        <v>25</v>
      </c>
      <c r="H53" t="s">
        <v>90</v>
      </c>
      <c r="I53" t="s">
        <v>11</v>
      </c>
      <c r="J53">
        <v>4</v>
      </c>
      <c r="K53">
        <v>1</v>
      </c>
      <c r="L53">
        <v>1</v>
      </c>
      <c r="M53" t="s">
        <v>15</v>
      </c>
      <c r="N53" t="s">
        <v>16</v>
      </c>
      <c r="O53">
        <f>VLOOKUP($V53,naming_lookup!$C$1:$H$40,3,FALSE)</f>
        <v>-10</v>
      </c>
      <c r="P53">
        <f>VLOOKUP($V53,naming_lookup!$C$1:$H$40,4,FALSE)</f>
        <v>10</v>
      </c>
      <c r="Q53">
        <v>100</v>
      </c>
      <c r="R53" s="2" t="s">
        <v>210</v>
      </c>
      <c r="S53" t="str">
        <f>VLOOKUP($V53,naming_lookup!$C$1:$H$40,5,FALSE)</f>
        <v>swvl1</v>
      </c>
      <c r="T53" t="str">
        <f>VLOOKUP($V53,naming_lookup!$C$1:$H$40,5,FALSE)</f>
        <v>swvl1</v>
      </c>
      <c r="U53" t="str">
        <f>VLOOKUP($V53,naming_lookup!$C$1:$H$40,6,FALSE)</f>
        <v>m</v>
      </c>
      <c r="V53" t="s">
        <v>23</v>
      </c>
      <c r="W53" t="s">
        <v>24</v>
      </c>
      <c r="X53" t="s">
        <v>25</v>
      </c>
    </row>
    <row r="54" spans="1:24" x14ac:dyDescent="0.35">
      <c r="A54" t="s">
        <v>104</v>
      </c>
      <c r="B54" s="1">
        <v>34700</v>
      </c>
      <c r="C54" s="1">
        <v>47484</v>
      </c>
      <c r="D54" s="2" t="str">
        <f t="shared" si="0"/>
        <v>TS</v>
      </c>
      <c r="E54" s="2" t="str">
        <f t="shared" si="1"/>
        <v>TS</v>
      </c>
      <c r="F54" t="s">
        <v>13</v>
      </c>
      <c r="G54" t="s">
        <v>14</v>
      </c>
      <c r="H54" t="s">
        <v>97</v>
      </c>
      <c r="I54" t="s">
        <v>11</v>
      </c>
      <c r="J54" t="s">
        <v>11</v>
      </c>
      <c r="K54" t="s">
        <v>11</v>
      </c>
      <c r="L54" t="s">
        <v>11</v>
      </c>
      <c r="M54" t="s">
        <v>15</v>
      </c>
      <c r="N54" t="s">
        <v>16</v>
      </c>
      <c r="O54">
        <f>VLOOKUP($V54,naming_lookup!$C$1:$H$40,3,FALSE)</f>
        <v>-20</v>
      </c>
      <c r="P54">
        <f>VLOOKUP($V54,naming_lookup!$C$1:$H$40,4,FALSE)</f>
        <v>50</v>
      </c>
      <c r="Q54">
        <v>100</v>
      </c>
      <c r="R54" s="2" t="s">
        <v>210</v>
      </c>
      <c r="S54" t="str">
        <f>VLOOKUP($V54,naming_lookup!$C$1:$H$40,5,FALSE)</f>
        <v>stl1</v>
      </c>
      <c r="T54" t="str">
        <f>VLOOKUP($V54,naming_lookup!$C$1:$H$40,5,FALSE)</f>
        <v>stl1</v>
      </c>
      <c r="U54" t="str">
        <f>VLOOKUP($V54,naming_lookup!$C$1:$H$40,6,FALSE)</f>
        <v>degree_C</v>
      </c>
      <c r="V54" t="s">
        <v>12</v>
      </c>
      <c r="W54" t="s">
        <v>13</v>
      </c>
      <c r="X54" t="s">
        <v>14</v>
      </c>
    </row>
    <row r="55" spans="1:24" x14ac:dyDescent="0.35">
      <c r="A55" t="s">
        <v>104</v>
      </c>
      <c r="B55" s="1">
        <v>34700</v>
      </c>
      <c r="C55" s="1">
        <v>47484</v>
      </c>
      <c r="D55" s="2" t="str">
        <f t="shared" si="0"/>
        <v>TS_4_1_1</v>
      </c>
      <c r="E55" s="2" t="str">
        <f t="shared" si="1"/>
        <v>TS_4_1_1</v>
      </c>
      <c r="F55" t="s">
        <v>13</v>
      </c>
      <c r="G55" t="s">
        <v>14</v>
      </c>
      <c r="H55" t="s">
        <v>97</v>
      </c>
      <c r="I55" t="s">
        <v>11</v>
      </c>
      <c r="J55">
        <v>4</v>
      </c>
      <c r="K55">
        <v>1</v>
      </c>
      <c r="L55">
        <v>1</v>
      </c>
      <c r="M55" t="s">
        <v>15</v>
      </c>
      <c r="N55" t="s">
        <v>16</v>
      </c>
      <c r="O55">
        <f>VLOOKUP($V55,naming_lookup!$C$1:$H$40,3,FALSE)</f>
        <v>-20</v>
      </c>
      <c r="P55">
        <f>VLOOKUP($V55,naming_lookup!$C$1:$H$40,4,FALSE)</f>
        <v>50</v>
      </c>
      <c r="Q55">
        <v>100</v>
      </c>
      <c r="R55" s="2" t="s">
        <v>210</v>
      </c>
      <c r="S55" t="str">
        <f>VLOOKUP($V55,naming_lookup!$C$1:$H$40,5,FALSE)</f>
        <v>stl1</v>
      </c>
      <c r="T55" t="str">
        <f>VLOOKUP($V55,naming_lookup!$C$1:$H$40,5,FALSE)</f>
        <v>stl1</v>
      </c>
      <c r="U55" t="str">
        <f>VLOOKUP($V55,naming_lookup!$C$1:$H$40,6,FALSE)</f>
        <v>degree_C</v>
      </c>
      <c r="V55" t="s">
        <v>12</v>
      </c>
      <c r="W55" t="s">
        <v>13</v>
      </c>
      <c r="X55" t="s">
        <v>14</v>
      </c>
    </row>
    <row r="56" spans="1:24" x14ac:dyDescent="0.35">
      <c r="A56" t="s">
        <v>104</v>
      </c>
      <c r="B56" s="1">
        <v>34700</v>
      </c>
      <c r="C56" s="1">
        <v>47484</v>
      </c>
      <c r="D56" s="2" t="str">
        <f t="shared" si="0"/>
        <v>TS_4_2_1</v>
      </c>
      <c r="E56" s="2" t="str">
        <f t="shared" si="1"/>
        <v>TS_4_2_1</v>
      </c>
      <c r="F56" t="s">
        <v>13</v>
      </c>
      <c r="G56" t="s">
        <v>14</v>
      </c>
      <c r="H56" t="s">
        <v>97</v>
      </c>
      <c r="I56" t="s">
        <v>11</v>
      </c>
      <c r="J56">
        <v>4</v>
      </c>
      <c r="K56">
        <v>2</v>
      </c>
      <c r="L56">
        <v>1</v>
      </c>
      <c r="M56" t="s">
        <v>15</v>
      </c>
      <c r="N56" t="s">
        <v>16</v>
      </c>
      <c r="O56">
        <f>VLOOKUP($V56,naming_lookup!$C$1:$H$40,3,FALSE)</f>
        <v>-20</v>
      </c>
      <c r="P56">
        <f>VLOOKUP($V56,naming_lookup!$C$1:$H$40,4,FALSE)</f>
        <v>50</v>
      </c>
      <c r="Q56">
        <v>100</v>
      </c>
      <c r="R56" s="2" t="s">
        <v>210</v>
      </c>
      <c r="S56" t="str">
        <f>VLOOKUP($V56,naming_lookup!$C$1:$H$40,5,FALSE)</f>
        <v>stl1</v>
      </c>
      <c r="T56" t="str">
        <f>VLOOKUP($V56,naming_lookup!$C$1:$H$40,5,FALSE)</f>
        <v>stl1</v>
      </c>
      <c r="U56" t="str">
        <f>VLOOKUP($V56,naming_lookup!$C$1:$H$40,6,FALSE)</f>
        <v>degree_C</v>
      </c>
      <c r="V56" t="s">
        <v>12</v>
      </c>
      <c r="W56" t="s">
        <v>13</v>
      </c>
      <c r="X56" t="s">
        <v>14</v>
      </c>
    </row>
    <row r="57" spans="1:24" x14ac:dyDescent="0.35">
      <c r="A57" t="s">
        <v>104</v>
      </c>
      <c r="B57" s="1">
        <v>34700</v>
      </c>
      <c r="C57" s="1">
        <v>47484</v>
      </c>
      <c r="D57" s="2" t="str">
        <f t="shared" si="0"/>
        <v>TS_4_3_1</v>
      </c>
      <c r="E57" s="2" t="str">
        <f t="shared" si="1"/>
        <v>TS_4_3_1</v>
      </c>
      <c r="F57" t="s">
        <v>13</v>
      </c>
      <c r="G57" t="s">
        <v>14</v>
      </c>
      <c r="H57" t="s">
        <v>97</v>
      </c>
      <c r="I57" t="s">
        <v>11</v>
      </c>
      <c r="J57">
        <v>4</v>
      </c>
      <c r="K57">
        <v>3</v>
      </c>
      <c r="L57">
        <v>1</v>
      </c>
      <c r="M57" t="s">
        <v>15</v>
      </c>
      <c r="N57" t="s">
        <v>16</v>
      </c>
      <c r="O57">
        <f>VLOOKUP($V57,naming_lookup!$C$1:$H$40,3,FALSE)</f>
        <v>-20</v>
      </c>
      <c r="P57">
        <f>VLOOKUP($V57,naming_lookup!$C$1:$H$40,4,FALSE)</f>
        <v>50</v>
      </c>
      <c r="Q57">
        <v>100</v>
      </c>
      <c r="R57" s="2" t="s">
        <v>210</v>
      </c>
      <c r="S57" t="str">
        <f>VLOOKUP($V57,naming_lookup!$C$1:$H$40,5,FALSE)</f>
        <v>stl1</v>
      </c>
      <c r="T57" t="str">
        <f>VLOOKUP($V57,naming_lookup!$C$1:$H$40,5,FALSE)</f>
        <v>stl1</v>
      </c>
      <c r="U57" t="str">
        <f>VLOOKUP($V57,naming_lookup!$C$1:$H$40,6,FALSE)</f>
        <v>degree_C</v>
      </c>
      <c r="V57" t="s">
        <v>12</v>
      </c>
      <c r="W57" t="s">
        <v>13</v>
      </c>
      <c r="X57" t="s">
        <v>14</v>
      </c>
    </row>
    <row r="58" spans="1:24" x14ac:dyDescent="0.35">
      <c r="A58" t="s">
        <v>104</v>
      </c>
      <c r="B58" s="1">
        <v>34700</v>
      </c>
      <c r="C58" s="1">
        <v>47484</v>
      </c>
      <c r="D58" s="2" t="str">
        <f t="shared" si="0"/>
        <v>TS_4_4_1</v>
      </c>
      <c r="E58" s="2" t="str">
        <f t="shared" si="1"/>
        <v>TS_4_4_1</v>
      </c>
      <c r="F58" t="s">
        <v>13</v>
      </c>
      <c r="G58" t="s">
        <v>14</v>
      </c>
      <c r="H58" t="s">
        <v>97</v>
      </c>
      <c r="I58" t="s">
        <v>11</v>
      </c>
      <c r="J58">
        <v>4</v>
      </c>
      <c r="K58">
        <v>4</v>
      </c>
      <c r="L58">
        <v>1</v>
      </c>
      <c r="M58" t="s">
        <v>15</v>
      </c>
      <c r="N58" t="s">
        <v>16</v>
      </c>
      <c r="O58">
        <f>VLOOKUP($V58,naming_lookup!$C$1:$H$40,3,FALSE)</f>
        <v>-20</v>
      </c>
      <c r="P58">
        <f>VLOOKUP($V58,naming_lookup!$C$1:$H$40,4,FALSE)</f>
        <v>50</v>
      </c>
      <c r="Q58">
        <v>100</v>
      </c>
      <c r="R58" s="2" t="s">
        <v>210</v>
      </c>
      <c r="S58" t="str">
        <f>VLOOKUP($V58,naming_lookup!$C$1:$H$40,5,FALSE)</f>
        <v>stl1</v>
      </c>
      <c r="T58" t="str">
        <f>VLOOKUP($V58,naming_lookup!$C$1:$H$40,5,FALSE)</f>
        <v>stl1</v>
      </c>
      <c r="U58" t="str">
        <f>VLOOKUP($V58,naming_lookup!$C$1:$H$40,6,FALSE)</f>
        <v>degree_C</v>
      </c>
      <c r="V58" t="s">
        <v>12</v>
      </c>
      <c r="W58" t="s">
        <v>13</v>
      </c>
      <c r="X58" t="s">
        <v>14</v>
      </c>
    </row>
    <row r="59" spans="1:24" x14ac:dyDescent="0.35">
      <c r="A59" t="s">
        <v>104</v>
      </c>
      <c r="B59" s="1">
        <v>34700</v>
      </c>
      <c r="C59" s="1">
        <v>47484</v>
      </c>
      <c r="D59" s="2" t="str">
        <f t="shared" si="0"/>
        <v>TS_8_1_1</v>
      </c>
      <c r="E59" s="2" t="str">
        <f t="shared" si="1"/>
        <v>TS_8_1_1</v>
      </c>
      <c r="F59" t="s">
        <v>13</v>
      </c>
      <c r="G59" t="s">
        <v>14</v>
      </c>
      <c r="H59" t="s">
        <v>97</v>
      </c>
      <c r="I59" t="s">
        <v>11</v>
      </c>
      <c r="J59">
        <v>8</v>
      </c>
      <c r="K59">
        <v>1</v>
      </c>
      <c r="L59">
        <v>1</v>
      </c>
      <c r="M59" t="s">
        <v>15</v>
      </c>
      <c r="N59" t="s">
        <v>16</v>
      </c>
      <c r="O59">
        <f>VLOOKUP($V59,naming_lookup!$C$1:$H$40,3,FALSE)</f>
        <v>-20</v>
      </c>
      <c r="P59">
        <f>VLOOKUP($V59,naming_lookup!$C$1:$H$40,4,FALSE)</f>
        <v>50</v>
      </c>
      <c r="Q59">
        <v>100</v>
      </c>
      <c r="R59" s="2" t="s">
        <v>210</v>
      </c>
      <c r="S59" t="str">
        <f>VLOOKUP($V59,naming_lookup!$C$1:$H$40,5,FALSE)</f>
        <v>stl1</v>
      </c>
      <c r="T59" t="str">
        <f>VLOOKUP($V59,naming_lookup!$C$1:$H$40,5,FALSE)</f>
        <v>stl1</v>
      </c>
      <c r="U59" t="str">
        <f>VLOOKUP($V59,naming_lookup!$C$1:$H$40,6,FALSE)</f>
        <v>degree_C</v>
      </c>
      <c r="V59" t="s">
        <v>12</v>
      </c>
      <c r="W59" t="s">
        <v>13</v>
      </c>
      <c r="X59" t="s">
        <v>14</v>
      </c>
    </row>
    <row r="60" spans="1:24" x14ac:dyDescent="0.35">
      <c r="A60" t="s">
        <v>104</v>
      </c>
      <c r="B60" s="1">
        <v>34700</v>
      </c>
      <c r="C60" s="1">
        <v>47484</v>
      </c>
      <c r="D60" s="2" t="str">
        <f t="shared" si="0"/>
        <v>TS_8_2_1</v>
      </c>
      <c r="E60" s="2" t="str">
        <f t="shared" si="1"/>
        <v>TS_8_2_1</v>
      </c>
      <c r="F60" t="s">
        <v>13</v>
      </c>
      <c r="G60" t="s">
        <v>14</v>
      </c>
      <c r="H60" t="s">
        <v>97</v>
      </c>
      <c r="I60" t="s">
        <v>11</v>
      </c>
      <c r="J60">
        <v>8</v>
      </c>
      <c r="K60">
        <v>2</v>
      </c>
      <c r="L60">
        <v>1</v>
      </c>
      <c r="M60" t="s">
        <v>15</v>
      </c>
      <c r="N60" t="s">
        <v>16</v>
      </c>
      <c r="O60">
        <f>VLOOKUP($V60,naming_lookup!$C$1:$H$40,3,FALSE)</f>
        <v>-20</v>
      </c>
      <c r="P60">
        <f>VLOOKUP($V60,naming_lookup!$C$1:$H$40,4,FALSE)</f>
        <v>50</v>
      </c>
      <c r="Q60">
        <v>100</v>
      </c>
      <c r="R60" s="2" t="s">
        <v>210</v>
      </c>
      <c r="S60" t="str">
        <f>VLOOKUP($V60,naming_lookup!$C$1:$H$40,5,FALSE)</f>
        <v>stl1</v>
      </c>
      <c r="T60" t="str">
        <f>VLOOKUP($V60,naming_lookup!$C$1:$H$40,5,FALSE)</f>
        <v>stl1</v>
      </c>
      <c r="U60" t="str">
        <f>VLOOKUP($V60,naming_lookup!$C$1:$H$40,6,FALSE)</f>
        <v>degree_C</v>
      </c>
      <c r="V60" t="s">
        <v>12</v>
      </c>
      <c r="W60" t="s">
        <v>13</v>
      </c>
      <c r="X60" t="s">
        <v>14</v>
      </c>
    </row>
    <row r="61" spans="1:24" x14ac:dyDescent="0.35">
      <c r="A61" t="s">
        <v>104</v>
      </c>
      <c r="B61" s="1">
        <v>34700</v>
      </c>
      <c r="C61" s="1">
        <v>47484</v>
      </c>
      <c r="D61" s="2" t="str">
        <f t="shared" si="0"/>
        <v>TS_8_3_1</v>
      </c>
      <c r="E61" s="2" t="str">
        <f t="shared" si="1"/>
        <v>TS_8_3_1</v>
      </c>
      <c r="F61" t="s">
        <v>13</v>
      </c>
      <c r="G61" t="s">
        <v>14</v>
      </c>
      <c r="H61" t="s">
        <v>97</v>
      </c>
      <c r="I61" t="s">
        <v>11</v>
      </c>
      <c r="J61">
        <v>8</v>
      </c>
      <c r="K61">
        <v>3</v>
      </c>
      <c r="L61">
        <v>1</v>
      </c>
      <c r="M61" t="s">
        <v>15</v>
      </c>
      <c r="N61" t="s">
        <v>16</v>
      </c>
      <c r="O61">
        <f>VLOOKUP($V61,naming_lookup!$C$1:$H$40,3,FALSE)</f>
        <v>-20</v>
      </c>
      <c r="P61">
        <f>VLOOKUP($V61,naming_lookup!$C$1:$H$40,4,FALSE)</f>
        <v>50</v>
      </c>
      <c r="Q61">
        <v>100</v>
      </c>
      <c r="R61" s="2" t="s">
        <v>210</v>
      </c>
      <c r="S61" t="str">
        <f>VLOOKUP($V61,naming_lookup!$C$1:$H$40,5,FALSE)</f>
        <v>stl1</v>
      </c>
      <c r="T61" t="str">
        <f>VLOOKUP($V61,naming_lookup!$C$1:$H$40,5,FALSE)</f>
        <v>stl1</v>
      </c>
      <c r="U61" t="str">
        <f>VLOOKUP($V61,naming_lookup!$C$1:$H$40,6,FALSE)</f>
        <v>degree_C</v>
      </c>
      <c r="V61" t="s">
        <v>12</v>
      </c>
      <c r="W61" t="s">
        <v>13</v>
      </c>
      <c r="X61" t="s">
        <v>14</v>
      </c>
    </row>
    <row r="62" spans="1:24" x14ac:dyDescent="0.35">
      <c r="A62" t="s">
        <v>104</v>
      </c>
      <c r="B62" s="1">
        <v>34700</v>
      </c>
      <c r="C62" s="1">
        <v>47484</v>
      </c>
      <c r="D62" s="2" t="str">
        <f t="shared" si="0"/>
        <v>TS_8_4_1</v>
      </c>
      <c r="E62" s="2" t="str">
        <f t="shared" si="1"/>
        <v>TS_8_4_1</v>
      </c>
      <c r="F62" t="s">
        <v>13</v>
      </c>
      <c r="G62" t="s">
        <v>14</v>
      </c>
      <c r="H62" t="s">
        <v>97</v>
      </c>
      <c r="I62" t="s">
        <v>11</v>
      </c>
      <c r="J62">
        <v>8</v>
      </c>
      <c r="K62">
        <v>4</v>
      </c>
      <c r="L62">
        <v>1</v>
      </c>
      <c r="M62" t="s">
        <v>15</v>
      </c>
      <c r="N62" t="s">
        <v>16</v>
      </c>
      <c r="O62">
        <f>VLOOKUP($V62,naming_lookup!$C$1:$H$40,3,FALSE)</f>
        <v>-20</v>
      </c>
      <c r="P62">
        <f>VLOOKUP($V62,naming_lookup!$C$1:$H$40,4,FALSE)</f>
        <v>50</v>
      </c>
      <c r="Q62">
        <v>100</v>
      </c>
      <c r="R62" s="2" t="s">
        <v>210</v>
      </c>
      <c r="S62" t="str">
        <f>VLOOKUP($V62,naming_lookup!$C$1:$H$40,5,FALSE)</f>
        <v>stl1</v>
      </c>
      <c r="T62" t="str">
        <f>VLOOKUP($V62,naming_lookup!$C$1:$H$40,5,FALSE)</f>
        <v>stl1</v>
      </c>
      <c r="U62" t="str">
        <f>VLOOKUP($V62,naming_lookup!$C$1:$H$40,6,FALSE)</f>
        <v>degree_C</v>
      </c>
      <c r="V62" t="s">
        <v>12</v>
      </c>
      <c r="W62" t="s">
        <v>13</v>
      </c>
      <c r="X62" t="s">
        <v>14</v>
      </c>
    </row>
    <row r="63" spans="1:24" x14ac:dyDescent="0.35">
      <c r="A63" t="s">
        <v>104</v>
      </c>
      <c r="B63" s="1">
        <v>34700</v>
      </c>
      <c r="C63" s="1">
        <v>47484</v>
      </c>
      <c r="D63" s="2" t="str">
        <f t="shared" si="0"/>
        <v>TS_8_5_1</v>
      </c>
      <c r="E63" s="2" t="str">
        <f t="shared" si="1"/>
        <v>TS_8_5_1</v>
      </c>
      <c r="F63" t="s">
        <v>13</v>
      </c>
      <c r="G63" t="s">
        <v>14</v>
      </c>
      <c r="H63" t="s">
        <v>97</v>
      </c>
      <c r="I63" t="s">
        <v>11</v>
      </c>
      <c r="J63">
        <v>8</v>
      </c>
      <c r="K63">
        <v>5</v>
      </c>
      <c r="L63">
        <v>1</v>
      </c>
      <c r="M63" t="s">
        <v>15</v>
      </c>
      <c r="N63" t="s">
        <v>16</v>
      </c>
      <c r="O63">
        <f>VLOOKUP($V63,naming_lookup!$C$1:$H$40,3,FALSE)</f>
        <v>-20</v>
      </c>
      <c r="P63">
        <f>VLOOKUP($V63,naming_lookup!$C$1:$H$40,4,FALSE)</f>
        <v>50</v>
      </c>
      <c r="Q63">
        <v>100</v>
      </c>
      <c r="R63" s="2" t="s">
        <v>210</v>
      </c>
      <c r="S63" t="str">
        <f>VLOOKUP($V63,naming_lookup!$C$1:$H$40,5,FALSE)</f>
        <v>stl1</v>
      </c>
      <c r="T63" t="str">
        <f>VLOOKUP($V63,naming_lookup!$C$1:$H$40,5,FALSE)</f>
        <v>stl1</v>
      </c>
      <c r="U63" t="str">
        <f>VLOOKUP($V63,naming_lookup!$C$1:$H$40,6,FALSE)</f>
        <v>degree_C</v>
      </c>
      <c r="V63" t="s">
        <v>12</v>
      </c>
      <c r="W63" t="s">
        <v>13</v>
      </c>
      <c r="X63" t="s">
        <v>14</v>
      </c>
    </row>
    <row r="64" spans="1:24" x14ac:dyDescent="0.35">
      <c r="A64" t="s">
        <v>104</v>
      </c>
      <c r="B64" s="1">
        <v>34700</v>
      </c>
      <c r="C64" s="1">
        <v>47484</v>
      </c>
      <c r="D64" s="2" t="str">
        <f t="shared" si="0"/>
        <v>TS_9_1_1</v>
      </c>
      <c r="E64" s="2" t="str">
        <f t="shared" si="1"/>
        <v>TS_9_1_1</v>
      </c>
      <c r="F64" t="s">
        <v>13</v>
      </c>
      <c r="G64" t="s">
        <v>14</v>
      </c>
      <c r="H64" t="s">
        <v>97</v>
      </c>
      <c r="I64" t="s">
        <v>11</v>
      </c>
      <c r="J64">
        <v>9</v>
      </c>
      <c r="K64">
        <v>1</v>
      </c>
      <c r="L64">
        <v>1</v>
      </c>
      <c r="M64" t="s">
        <v>15</v>
      </c>
      <c r="N64" t="s">
        <v>16</v>
      </c>
      <c r="O64">
        <f>VLOOKUP($V64,naming_lookup!$C$1:$H$40,3,FALSE)</f>
        <v>-20</v>
      </c>
      <c r="P64">
        <f>VLOOKUP($V64,naming_lookup!$C$1:$H$40,4,FALSE)</f>
        <v>50</v>
      </c>
      <c r="Q64">
        <v>100</v>
      </c>
      <c r="R64" s="2" t="s">
        <v>210</v>
      </c>
      <c r="S64" t="str">
        <f>VLOOKUP($V64,naming_lookup!$C$1:$H$40,5,FALSE)</f>
        <v>stl1</v>
      </c>
      <c r="T64" t="str">
        <f>VLOOKUP($V64,naming_lookup!$C$1:$H$40,5,FALSE)</f>
        <v>stl1</v>
      </c>
      <c r="U64" t="str">
        <f>VLOOKUP($V64,naming_lookup!$C$1:$H$40,6,FALSE)</f>
        <v>degree_C</v>
      </c>
      <c r="V64" t="s">
        <v>12</v>
      </c>
      <c r="W64" t="s">
        <v>13</v>
      </c>
      <c r="X64" t="s">
        <v>14</v>
      </c>
    </row>
    <row r="65" spans="1:24" x14ac:dyDescent="0.35">
      <c r="A65" t="s">
        <v>104</v>
      </c>
      <c r="B65" s="1">
        <v>34700</v>
      </c>
      <c r="C65" s="1">
        <v>47484</v>
      </c>
      <c r="D65" s="2" t="str">
        <f t="shared" si="0"/>
        <v>TS_9_2_1</v>
      </c>
      <c r="E65" s="2" t="str">
        <f t="shared" si="1"/>
        <v>TS_9_2_1</v>
      </c>
      <c r="F65" t="s">
        <v>13</v>
      </c>
      <c r="G65" t="s">
        <v>14</v>
      </c>
      <c r="H65" t="s">
        <v>97</v>
      </c>
      <c r="I65" t="s">
        <v>11</v>
      </c>
      <c r="J65">
        <v>9</v>
      </c>
      <c r="K65">
        <v>2</v>
      </c>
      <c r="L65">
        <v>1</v>
      </c>
      <c r="M65" t="s">
        <v>15</v>
      </c>
      <c r="N65" t="s">
        <v>16</v>
      </c>
      <c r="O65">
        <f>VLOOKUP($V65,naming_lookup!$C$1:$H$40,3,FALSE)</f>
        <v>-20</v>
      </c>
      <c r="P65">
        <f>VLOOKUP($V65,naming_lookup!$C$1:$H$40,4,FALSE)</f>
        <v>50</v>
      </c>
      <c r="Q65">
        <v>100</v>
      </c>
      <c r="R65" s="2" t="s">
        <v>210</v>
      </c>
      <c r="S65" t="str">
        <f>VLOOKUP($V65,naming_lookup!$C$1:$H$40,5,FALSE)</f>
        <v>stl1</v>
      </c>
      <c r="T65" t="str">
        <f>VLOOKUP($V65,naming_lookup!$C$1:$H$40,5,FALSE)</f>
        <v>stl1</v>
      </c>
      <c r="U65" t="str">
        <f>VLOOKUP($V65,naming_lookup!$C$1:$H$40,6,FALSE)</f>
        <v>degree_C</v>
      </c>
      <c r="V65" t="s">
        <v>12</v>
      </c>
      <c r="W65" t="s">
        <v>13</v>
      </c>
      <c r="X65" t="s">
        <v>14</v>
      </c>
    </row>
    <row r="66" spans="1:24" x14ac:dyDescent="0.35">
      <c r="A66" t="s">
        <v>104</v>
      </c>
      <c r="B66" s="1">
        <v>34700</v>
      </c>
      <c r="C66" s="1">
        <v>47484</v>
      </c>
      <c r="D66" s="2" t="str">
        <f t="shared" ref="D66:D101" si="2">E66</f>
        <v>TS_9_3_1</v>
      </c>
      <c r="E66" s="2" t="str">
        <f t="shared" ref="E66:E101" si="3">IF(J66="NA",V66,V66&amp;"_"&amp;J66&amp;"_"&amp;K66&amp;"_"&amp;L66)</f>
        <v>TS_9_3_1</v>
      </c>
      <c r="F66" t="s">
        <v>13</v>
      </c>
      <c r="G66" t="s">
        <v>14</v>
      </c>
      <c r="H66" t="s">
        <v>97</v>
      </c>
      <c r="I66" t="s">
        <v>11</v>
      </c>
      <c r="J66">
        <v>9</v>
      </c>
      <c r="K66">
        <v>3</v>
      </c>
      <c r="L66">
        <v>1</v>
      </c>
      <c r="M66" t="s">
        <v>15</v>
      </c>
      <c r="N66" t="s">
        <v>16</v>
      </c>
      <c r="O66">
        <f>VLOOKUP($V66,naming_lookup!$C$1:$H$40,3,FALSE)</f>
        <v>-20</v>
      </c>
      <c r="P66">
        <f>VLOOKUP($V66,naming_lookup!$C$1:$H$40,4,FALSE)</f>
        <v>50</v>
      </c>
      <c r="Q66">
        <v>100</v>
      </c>
      <c r="R66" s="2" t="s">
        <v>210</v>
      </c>
      <c r="S66" t="str">
        <f>VLOOKUP($V66,naming_lookup!$C$1:$H$40,5,FALSE)</f>
        <v>stl1</v>
      </c>
      <c r="T66" t="str">
        <f>VLOOKUP($V66,naming_lookup!$C$1:$H$40,5,FALSE)</f>
        <v>stl1</v>
      </c>
      <c r="U66" t="str">
        <f>VLOOKUP($V66,naming_lookup!$C$1:$H$40,6,FALSE)</f>
        <v>degree_C</v>
      </c>
      <c r="V66" t="s">
        <v>12</v>
      </c>
      <c r="W66" t="s">
        <v>13</v>
      </c>
      <c r="X66" t="s">
        <v>14</v>
      </c>
    </row>
    <row r="67" spans="1:24" x14ac:dyDescent="0.35">
      <c r="A67" t="s">
        <v>104</v>
      </c>
      <c r="B67" s="1">
        <v>34700</v>
      </c>
      <c r="C67" s="1">
        <v>47484</v>
      </c>
      <c r="D67" s="2" t="str">
        <f t="shared" si="2"/>
        <v>TS_9_4_1</v>
      </c>
      <c r="E67" s="2" t="str">
        <f t="shared" si="3"/>
        <v>TS_9_4_1</v>
      </c>
      <c r="F67" t="s">
        <v>13</v>
      </c>
      <c r="G67" t="s">
        <v>14</v>
      </c>
      <c r="H67" t="s">
        <v>97</v>
      </c>
      <c r="I67" t="s">
        <v>11</v>
      </c>
      <c r="J67">
        <v>9</v>
      </c>
      <c r="K67">
        <v>4</v>
      </c>
      <c r="L67">
        <v>1</v>
      </c>
      <c r="M67" t="s">
        <v>15</v>
      </c>
      <c r="N67" t="s">
        <v>16</v>
      </c>
      <c r="O67">
        <f>VLOOKUP($V67,naming_lookup!$C$1:$H$40,3,FALSE)</f>
        <v>-20</v>
      </c>
      <c r="P67">
        <f>VLOOKUP($V67,naming_lookup!$C$1:$H$40,4,FALSE)</f>
        <v>50</v>
      </c>
      <c r="Q67">
        <v>100</v>
      </c>
      <c r="R67" s="2" t="s">
        <v>210</v>
      </c>
      <c r="S67" t="str">
        <f>VLOOKUP($V67,naming_lookup!$C$1:$H$40,5,FALSE)</f>
        <v>stl1</v>
      </c>
      <c r="T67" t="str">
        <f>VLOOKUP($V67,naming_lookup!$C$1:$H$40,5,FALSE)</f>
        <v>stl1</v>
      </c>
      <c r="U67" t="str">
        <f>VLOOKUP($V67,naming_lookup!$C$1:$H$40,6,FALSE)</f>
        <v>degree_C</v>
      </c>
      <c r="V67" t="s">
        <v>12</v>
      </c>
      <c r="W67" t="s">
        <v>13</v>
      </c>
      <c r="X67" t="s">
        <v>14</v>
      </c>
    </row>
    <row r="68" spans="1:24" x14ac:dyDescent="0.35">
      <c r="A68" t="s">
        <v>104</v>
      </c>
      <c r="B68" s="1">
        <v>34700</v>
      </c>
      <c r="C68" s="1">
        <v>47484</v>
      </c>
      <c r="D68" s="2" t="str">
        <f t="shared" si="2"/>
        <v>TS_9_5_1</v>
      </c>
      <c r="E68" s="2" t="str">
        <f t="shared" si="3"/>
        <v>TS_9_5_1</v>
      </c>
      <c r="F68" t="s">
        <v>13</v>
      </c>
      <c r="G68" t="s">
        <v>14</v>
      </c>
      <c r="H68" t="s">
        <v>97</v>
      </c>
      <c r="I68" t="s">
        <v>11</v>
      </c>
      <c r="J68">
        <v>9</v>
      </c>
      <c r="K68">
        <v>5</v>
      </c>
      <c r="L68">
        <v>1</v>
      </c>
      <c r="M68" t="s">
        <v>15</v>
      </c>
      <c r="N68" t="s">
        <v>16</v>
      </c>
      <c r="O68">
        <f>VLOOKUP($V68,naming_lookup!$C$1:$H$40,3,FALSE)</f>
        <v>-20</v>
      </c>
      <c r="P68">
        <f>VLOOKUP($V68,naming_lookup!$C$1:$H$40,4,FALSE)</f>
        <v>50</v>
      </c>
      <c r="Q68">
        <v>100</v>
      </c>
      <c r="R68" s="2" t="s">
        <v>210</v>
      </c>
      <c r="S68" t="str">
        <f>VLOOKUP($V68,naming_lookup!$C$1:$H$40,5,FALSE)</f>
        <v>stl1</v>
      </c>
      <c r="T68" t="str">
        <f>VLOOKUP($V68,naming_lookup!$C$1:$H$40,5,FALSE)</f>
        <v>stl1</v>
      </c>
      <c r="U68" t="str">
        <f>VLOOKUP($V68,naming_lookup!$C$1:$H$40,6,FALSE)</f>
        <v>degree_C</v>
      </c>
      <c r="V68" t="s">
        <v>12</v>
      </c>
      <c r="W68" t="s">
        <v>13</v>
      </c>
      <c r="X68" t="s">
        <v>14</v>
      </c>
    </row>
    <row r="69" spans="1:24" x14ac:dyDescent="0.35">
      <c r="A69" t="s">
        <v>104</v>
      </c>
      <c r="B69" s="1">
        <v>34700</v>
      </c>
      <c r="C69" s="1">
        <v>47484</v>
      </c>
      <c r="D69" s="2" t="str">
        <f t="shared" si="2"/>
        <v>G_8_1_1</v>
      </c>
      <c r="E69" s="2" t="str">
        <f t="shared" si="3"/>
        <v>G_8_1_1</v>
      </c>
      <c r="F69" t="s">
        <v>21</v>
      </c>
      <c r="G69" t="s">
        <v>22</v>
      </c>
      <c r="H69" t="s">
        <v>92</v>
      </c>
      <c r="I69" t="s">
        <v>11</v>
      </c>
      <c r="J69">
        <v>8</v>
      </c>
      <c r="K69">
        <v>1</v>
      </c>
      <c r="L69">
        <v>1</v>
      </c>
      <c r="M69" t="s">
        <v>15</v>
      </c>
      <c r="N69" t="s">
        <v>16</v>
      </c>
      <c r="O69">
        <f>VLOOKUP($V69,naming_lookup!$C$1:$H$40,3,FALSE)</f>
        <v>-30</v>
      </c>
      <c r="P69">
        <f>VLOOKUP($V69,naming_lookup!$C$1:$H$40,4,FALSE)</f>
        <v>30</v>
      </c>
      <c r="Q69">
        <v>100</v>
      </c>
      <c r="R69" s="2" t="s">
        <v>210</v>
      </c>
      <c r="S69" t="str">
        <f>VLOOKUP($V69,naming_lookup!$C$1:$H$40,5,FALSE)</f>
        <v>ssrd</v>
      </c>
      <c r="T69" t="str">
        <f>VLOOKUP($V69,naming_lookup!$C$1:$H$40,5,FALSE)</f>
        <v>ssrd</v>
      </c>
      <c r="U69" t="str">
        <f>VLOOKUP($V69,naming_lookup!$C$1:$H$40,6,FALSE)</f>
        <v>W / m^2</v>
      </c>
      <c r="V69" t="s">
        <v>20</v>
      </c>
      <c r="W69" t="s">
        <v>21</v>
      </c>
      <c r="X69" t="s">
        <v>22</v>
      </c>
    </row>
    <row r="70" spans="1:24" x14ac:dyDescent="0.35">
      <c r="A70" t="s">
        <v>104</v>
      </c>
      <c r="B70" s="1">
        <v>34700</v>
      </c>
      <c r="C70" s="1">
        <v>47484</v>
      </c>
      <c r="D70" s="2" t="str">
        <f t="shared" si="2"/>
        <v>G_9_1_1</v>
      </c>
      <c r="E70" s="2" t="str">
        <f t="shared" si="3"/>
        <v>G_9_1_1</v>
      </c>
      <c r="F70" t="s">
        <v>21</v>
      </c>
      <c r="G70" t="s">
        <v>22</v>
      </c>
      <c r="H70" t="s">
        <v>92</v>
      </c>
      <c r="I70" t="s">
        <v>11</v>
      </c>
      <c r="J70">
        <v>9</v>
      </c>
      <c r="K70">
        <v>1</v>
      </c>
      <c r="L70">
        <v>1</v>
      </c>
      <c r="M70" t="s">
        <v>15</v>
      </c>
      <c r="N70" t="s">
        <v>16</v>
      </c>
      <c r="O70">
        <f>VLOOKUP($V70,naming_lookup!$C$1:$H$40,3,FALSE)</f>
        <v>-30</v>
      </c>
      <c r="P70">
        <f>VLOOKUP($V70,naming_lookup!$C$1:$H$40,4,FALSE)</f>
        <v>30</v>
      </c>
      <c r="Q70">
        <v>100</v>
      </c>
      <c r="R70" s="2" t="s">
        <v>210</v>
      </c>
      <c r="S70" t="str">
        <f>VLOOKUP($V70,naming_lookup!$C$1:$H$40,5,FALSE)</f>
        <v>ssrd</v>
      </c>
      <c r="T70" t="str">
        <f>VLOOKUP($V70,naming_lookup!$C$1:$H$40,5,FALSE)</f>
        <v>ssrd</v>
      </c>
      <c r="U70" t="str">
        <f>VLOOKUP($V70,naming_lookup!$C$1:$H$40,6,FALSE)</f>
        <v>W / m^2</v>
      </c>
      <c r="V70" t="s">
        <v>20</v>
      </c>
      <c r="W70" t="s">
        <v>21</v>
      </c>
      <c r="X70" t="s">
        <v>22</v>
      </c>
    </row>
    <row r="71" spans="1:24" x14ac:dyDescent="0.35">
      <c r="A71" t="s">
        <v>104</v>
      </c>
      <c r="B71" s="1">
        <v>34700</v>
      </c>
      <c r="C71" s="1">
        <v>47484</v>
      </c>
      <c r="D71" s="2" t="str">
        <f t="shared" si="2"/>
        <v>G_10_1_1</v>
      </c>
      <c r="E71" s="2" t="str">
        <f t="shared" si="3"/>
        <v>G_10_1_1</v>
      </c>
      <c r="F71" t="s">
        <v>21</v>
      </c>
      <c r="G71" t="s">
        <v>22</v>
      </c>
      <c r="H71" t="s">
        <v>92</v>
      </c>
      <c r="I71" t="s">
        <v>11</v>
      </c>
      <c r="J71">
        <v>10</v>
      </c>
      <c r="K71">
        <v>1</v>
      </c>
      <c r="L71">
        <v>1</v>
      </c>
      <c r="M71" t="s">
        <v>15</v>
      </c>
      <c r="N71" t="s">
        <v>16</v>
      </c>
      <c r="O71">
        <f>VLOOKUP($V71,naming_lookup!$C$1:$H$40,3,FALSE)</f>
        <v>-30</v>
      </c>
      <c r="P71">
        <f>VLOOKUP($V71,naming_lookup!$C$1:$H$40,4,FALSE)</f>
        <v>30</v>
      </c>
      <c r="Q71">
        <v>100</v>
      </c>
      <c r="R71" s="2" t="s">
        <v>210</v>
      </c>
      <c r="S71" t="str">
        <f>VLOOKUP($V71,naming_lookup!$C$1:$H$40,5,FALSE)</f>
        <v>ssrd</v>
      </c>
      <c r="T71" t="str">
        <f>VLOOKUP($V71,naming_lookup!$C$1:$H$40,5,FALSE)</f>
        <v>ssrd</v>
      </c>
      <c r="U71" t="str">
        <f>VLOOKUP($V71,naming_lookup!$C$1:$H$40,6,FALSE)</f>
        <v>W / m^2</v>
      </c>
      <c r="V71" t="s">
        <v>20</v>
      </c>
      <c r="W71" t="s">
        <v>21</v>
      </c>
      <c r="X71" t="s">
        <v>22</v>
      </c>
    </row>
    <row r="72" spans="1:24" x14ac:dyDescent="0.35">
      <c r="A72" t="s">
        <v>104</v>
      </c>
      <c r="B72" s="1">
        <v>34700</v>
      </c>
      <c r="C72" s="1">
        <v>47484</v>
      </c>
      <c r="D72" s="2" t="str">
        <f t="shared" si="2"/>
        <v>G_11_1_1</v>
      </c>
      <c r="E72" s="2" t="str">
        <f t="shared" si="3"/>
        <v>G_11_1_1</v>
      </c>
      <c r="F72" t="s">
        <v>21</v>
      </c>
      <c r="G72" t="s">
        <v>22</v>
      </c>
      <c r="H72" t="s">
        <v>92</v>
      </c>
      <c r="I72" t="s">
        <v>11</v>
      </c>
      <c r="J72">
        <v>11</v>
      </c>
      <c r="K72">
        <v>1</v>
      </c>
      <c r="L72">
        <v>1</v>
      </c>
      <c r="M72" t="s">
        <v>15</v>
      </c>
      <c r="N72" t="s">
        <v>16</v>
      </c>
      <c r="O72">
        <f>VLOOKUP($V72,naming_lookup!$C$1:$H$40,3,FALSE)</f>
        <v>-30</v>
      </c>
      <c r="P72">
        <f>VLOOKUP($V72,naming_lookup!$C$1:$H$40,4,FALSE)</f>
        <v>30</v>
      </c>
      <c r="Q72">
        <v>100</v>
      </c>
      <c r="R72" s="2" t="s">
        <v>210</v>
      </c>
      <c r="S72" t="str">
        <f>VLOOKUP($V72,naming_lookup!$C$1:$H$40,5,FALSE)</f>
        <v>ssrd</v>
      </c>
      <c r="T72" t="str">
        <f>VLOOKUP($V72,naming_lookup!$C$1:$H$40,5,FALSE)</f>
        <v>ssrd</v>
      </c>
      <c r="U72" t="str">
        <f>VLOOKUP($V72,naming_lookup!$C$1:$H$40,6,FALSE)</f>
        <v>W / m^2</v>
      </c>
      <c r="V72" t="s">
        <v>20</v>
      </c>
      <c r="W72" t="s">
        <v>21</v>
      </c>
      <c r="X72" t="s">
        <v>22</v>
      </c>
    </row>
    <row r="73" spans="1:24" x14ac:dyDescent="0.35">
      <c r="A73" t="s">
        <v>104</v>
      </c>
      <c r="B73" s="1">
        <v>34700</v>
      </c>
      <c r="C73" s="1">
        <v>47484</v>
      </c>
      <c r="D73" s="2" t="str">
        <f t="shared" si="2"/>
        <v>WTD_8_1_1</v>
      </c>
      <c r="E73" s="2" t="str">
        <f t="shared" si="3"/>
        <v>WTD_8_1_1</v>
      </c>
      <c r="F73" t="s">
        <v>24</v>
      </c>
      <c r="G73" t="s">
        <v>25</v>
      </c>
      <c r="H73" t="s">
        <v>90</v>
      </c>
      <c r="I73" t="s">
        <v>11</v>
      </c>
      <c r="J73">
        <v>8</v>
      </c>
      <c r="K73">
        <v>1</v>
      </c>
      <c r="L73">
        <v>1</v>
      </c>
      <c r="M73" t="s">
        <v>15</v>
      </c>
      <c r="N73" t="s">
        <v>16</v>
      </c>
      <c r="O73">
        <f>VLOOKUP($V73,naming_lookup!$C$1:$H$40,3,FALSE)</f>
        <v>-10</v>
      </c>
      <c r="P73">
        <f>VLOOKUP($V73,naming_lookup!$C$1:$H$40,4,FALSE)</f>
        <v>10</v>
      </c>
      <c r="Q73">
        <v>100</v>
      </c>
      <c r="R73" s="2" t="s">
        <v>210</v>
      </c>
      <c r="S73" t="str">
        <f>VLOOKUP($V73,naming_lookup!$C$1:$H$40,5,FALSE)</f>
        <v>swvl1</v>
      </c>
      <c r="T73" t="str">
        <f>VLOOKUP($V73,naming_lookup!$C$1:$H$40,5,FALSE)</f>
        <v>swvl1</v>
      </c>
      <c r="U73" t="str">
        <f>VLOOKUP($V73,naming_lookup!$C$1:$H$40,6,FALSE)</f>
        <v>m</v>
      </c>
      <c r="V73" t="s">
        <v>23</v>
      </c>
      <c r="W73" t="s">
        <v>24</v>
      </c>
      <c r="X73" t="s">
        <v>25</v>
      </c>
    </row>
    <row r="74" spans="1:24" x14ac:dyDescent="0.35">
      <c r="A74" t="s">
        <v>104</v>
      </c>
      <c r="B74" s="1">
        <v>34700</v>
      </c>
      <c r="C74" s="1">
        <v>47484</v>
      </c>
      <c r="D74" s="2" t="str">
        <f t="shared" si="2"/>
        <v>WTD_9_1_1</v>
      </c>
      <c r="E74" s="2" t="str">
        <f t="shared" si="3"/>
        <v>WTD_9_1_1</v>
      </c>
      <c r="F74" t="s">
        <v>24</v>
      </c>
      <c r="G74" t="s">
        <v>25</v>
      </c>
      <c r="H74" t="s">
        <v>90</v>
      </c>
      <c r="I74" t="s">
        <v>11</v>
      </c>
      <c r="J74">
        <v>9</v>
      </c>
      <c r="K74">
        <v>1</v>
      </c>
      <c r="L74">
        <v>1</v>
      </c>
      <c r="M74" t="s">
        <v>15</v>
      </c>
      <c r="N74" t="s">
        <v>16</v>
      </c>
      <c r="O74">
        <f>VLOOKUP($V74,naming_lookup!$C$1:$H$40,3,FALSE)</f>
        <v>-10</v>
      </c>
      <c r="P74">
        <f>VLOOKUP($V74,naming_lookup!$C$1:$H$40,4,FALSE)</f>
        <v>10</v>
      </c>
      <c r="Q74">
        <v>100</v>
      </c>
      <c r="R74" s="2" t="s">
        <v>210</v>
      </c>
      <c r="S74" t="str">
        <f>VLOOKUP($V74,naming_lookup!$C$1:$H$40,5,FALSE)</f>
        <v>swvl1</v>
      </c>
      <c r="T74" t="str">
        <f>VLOOKUP($V74,naming_lookup!$C$1:$H$40,5,FALSE)</f>
        <v>swvl1</v>
      </c>
      <c r="U74" t="str">
        <f>VLOOKUP($V74,naming_lookup!$C$1:$H$40,6,FALSE)</f>
        <v>m</v>
      </c>
      <c r="V74" t="s">
        <v>23</v>
      </c>
      <c r="W74" t="s">
        <v>24</v>
      </c>
      <c r="X74" t="s">
        <v>25</v>
      </c>
    </row>
    <row r="75" spans="1:24" x14ac:dyDescent="0.35">
      <c r="A75" t="s">
        <v>104</v>
      </c>
      <c r="B75" s="1">
        <v>34700</v>
      </c>
      <c r="C75" s="1">
        <v>47484</v>
      </c>
      <c r="D75" s="2" t="str">
        <f t="shared" si="2"/>
        <v>WTD_10_1_1</v>
      </c>
      <c r="E75" s="2" t="str">
        <f t="shared" si="3"/>
        <v>WTD_10_1_1</v>
      </c>
      <c r="F75" t="s">
        <v>24</v>
      </c>
      <c r="G75" t="s">
        <v>25</v>
      </c>
      <c r="H75" t="s">
        <v>90</v>
      </c>
      <c r="I75" t="s">
        <v>11</v>
      </c>
      <c r="J75">
        <v>10</v>
      </c>
      <c r="K75">
        <v>1</v>
      </c>
      <c r="L75">
        <v>1</v>
      </c>
      <c r="M75" t="s">
        <v>15</v>
      </c>
      <c r="N75" t="s">
        <v>16</v>
      </c>
      <c r="O75">
        <f>VLOOKUP($V75,naming_lookup!$C$1:$H$40,3,FALSE)</f>
        <v>-10</v>
      </c>
      <c r="P75">
        <f>VLOOKUP($V75,naming_lookup!$C$1:$H$40,4,FALSE)</f>
        <v>10</v>
      </c>
      <c r="Q75">
        <v>100</v>
      </c>
      <c r="R75" s="2" t="s">
        <v>210</v>
      </c>
      <c r="S75" t="str">
        <f>VLOOKUP($V75,naming_lookup!$C$1:$H$40,5,FALSE)</f>
        <v>swvl1</v>
      </c>
      <c r="T75" t="str">
        <f>VLOOKUP($V75,naming_lookup!$C$1:$H$40,5,FALSE)</f>
        <v>swvl1</v>
      </c>
      <c r="U75" t="str">
        <f>VLOOKUP($V75,naming_lookup!$C$1:$H$40,6,FALSE)</f>
        <v>m</v>
      </c>
      <c r="V75" t="s">
        <v>23</v>
      </c>
      <c r="W75" t="s">
        <v>24</v>
      </c>
      <c r="X75" t="s">
        <v>25</v>
      </c>
    </row>
    <row r="76" spans="1:24" x14ac:dyDescent="0.35">
      <c r="A76" t="s">
        <v>104</v>
      </c>
      <c r="B76" s="1">
        <v>34700</v>
      </c>
      <c r="C76" s="1">
        <v>47484</v>
      </c>
      <c r="D76" s="2" t="str">
        <f t="shared" si="2"/>
        <v>WTD_11_1_1</v>
      </c>
      <c r="E76" s="2" t="str">
        <f t="shared" si="3"/>
        <v>WTD_11_1_1</v>
      </c>
      <c r="F76" t="s">
        <v>24</v>
      </c>
      <c r="G76" t="s">
        <v>25</v>
      </c>
      <c r="H76" t="s">
        <v>90</v>
      </c>
      <c r="I76" t="s">
        <v>11</v>
      </c>
      <c r="J76">
        <v>11</v>
      </c>
      <c r="K76">
        <v>1</v>
      </c>
      <c r="L76">
        <v>1</v>
      </c>
      <c r="M76" t="s">
        <v>15</v>
      </c>
      <c r="N76" t="s">
        <v>16</v>
      </c>
      <c r="O76">
        <f>VLOOKUP($V76,naming_lookup!$C$1:$H$40,3,FALSE)</f>
        <v>-10</v>
      </c>
      <c r="P76">
        <f>VLOOKUP($V76,naming_lookup!$C$1:$H$40,4,FALSE)</f>
        <v>10</v>
      </c>
      <c r="Q76">
        <v>100</v>
      </c>
      <c r="R76" s="2" t="s">
        <v>210</v>
      </c>
      <c r="S76" t="str">
        <f>VLOOKUP($V76,naming_lookup!$C$1:$H$40,5,FALSE)</f>
        <v>swvl1</v>
      </c>
      <c r="T76" t="str">
        <f>VLOOKUP($V76,naming_lookup!$C$1:$H$40,5,FALSE)</f>
        <v>swvl1</v>
      </c>
      <c r="U76" t="str">
        <f>VLOOKUP($V76,naming_lookup!$C$1:$H$40,6,FALSE)</f>
        <v>m</v>
      </c>
      <c r="V76" t="s">
        <v>23</v>
      </c>
      <c r="W76" t="s">
        <v>24</v>
      </c>
      <c r="X76" t="s">
        <v>25</v>
      </c>
    </row>
    <row r="77" spans="1:24" x14ac:dyDescent="0.35">
      <c r="A77" t="s">
        <v>104</v>
      </c>
      <c r="B77" s="1">
        <v>34700</v>
      </c>
      <c r="C77" s="1">
        <v>47484</v>
      </c>
      <c r="D77" s="2" t="str">
        <f t="shared" si="2"/>
        <v>SWC_8_1_1</v>
      </c>
      <c r="E77" s="2" t="str">
        <f t="shared" si="3"/>
        <v>SWC_8_1_1</v>
      </c>
      <c r="F77" t="s">
        <v>18</v>
      </c>
      <c r="G77" t="s">
        <v>19</v>
      </c>
      <c r="H77" t="s">
        <v>96</v>
      </c>
      <c r="I77" t="s">
        <v>11</v>
      </c>
      <c r="J77">
        <v>8</v>
      </c>
      <c r="K77">
        <v>1</v>
      </c>
      <c r="L77">
        <v>1</v>
      </c>
      <c r="M77" t="s">
        <v>15</v>
      </c>
      <c r="N77" t="s">
        <v>16</v>
      </c>
      <c r="O77">
        <f>VLOOKUP($V77,naming_lookup!$C$1:$H$40,3,FALSE)</f>
        <v>0</v>
      </c>
      <c r="P77">
        <f>VLOOKUP($V77,naming_lookup!$C$1:$H$40,4,FALSE)</f>
        <v>100</v>
      </c>
      <c r="Q77">
        <v>100</v>
      </c>
      <c r="R77" s="2" t="s">
        <v>210</v>
      </c>
      <c r="S77" t="str">
        <f>VLOOKUP($V77,naming_lookup!$C$1:$H$40,5,FALSE)</f>
        <v>swvl1</v>
      </c>
      <c r="T77" t="str">
        <f>VLOOKUP($V77,naming_lookup!$C$1:$H$40,5,FALSE)</f>
        <v>swvl1</v>
      </c>
      <c r="U77" t="str">
        <f>VLOOKUP($V77,naming_lookup!$C$1:$H$40,6,FALSE)</f>
        <v>percent</v>
      </c>
      <c r="V77" t="s">
        <v>17</v>
      </c>
      <c r="W77" t="s">
        <v>18</v>
      </c>
      <c r="X77" t="s">
        <v>19</v>
      </c>
    </row>
    <row r="78" spans="1:24" x14ac:dyDescent="0.35">
      <c r="A78" t="s">
        <v>104</v>
      </c>
      <c r="B78" s="1">
        <v>34700</v>
      </c>
      <c r="C78" s="1">
        <v>47484</v>
      </c>
      <c r="D78" s="2" t="str">
        <f t="shared" si="2"/>
        <v>SWC_8_2_1</v>
      </c>
      <c r="E78" s="2" t="str">
        <f t="shared" si="3"/>
        <v>SWC_8_2_1</v>
      </c>
      <c r="F78" t="s">
        <v>18</v>
      </c>
      <c r="G78" t="s">
        <v>19</v>
      </c>
      <c r="H78" t="s">
        <v>96</v>
      </c>
      <c r="I78" t="s">
        <v>11</v>
      </c>
      <c r="J78">
        <v>8</v>
      </c>
      <c r="K78">
        <v>2</v>
      </c>
      <c r="L78">
        <v>1</v>
      </c>
      <c r="M78" t="s">
        <v>15</v>
      </c>
      <c r="N78" t="s">
        <v>16</v>
      </c>
      <c r="O78">
        <f>VLOOKUP($V78,naming_lookup!$C$1:$H$40,3,FALSE)</f>
        <v>0</v>
      </c>
      <c r="P78">
        <f>VLOOKUP($V78,naming_lookup!$C$1:$H$40,4,FALSE)</f>
        <v>100</v>
      </c>
      <c r="Q78">
        <v>100</v>
      </c>
      <c r="R78" s="2" t="s">
        <v>210</v>
      </c>
      <c r="S78" t="str">
        <f>VLOOKUP($V78,naming_lookup!$C$1:$H$40,5,FALSE)</f>
        <v>swvl1</v>
      </c>
      <c r="T78" t="str">
        <f>VLOOKUP($V78,naming_lookup!$C$1:$H$40,5,FALSE)</f>
        <v>swvl1</v>
      </c>
      <c r="U78" t="str">
        <f>VLOOKUP($V78,naming_lookup!$C$1:$H$40,6,FALSE)</f>
        <v>percent</v>
      </c>
      <c r="V78" t="s">
        <v>17</v>
      </c>
      <c r="W78" t="s">
        <v>18</v>
      </c>
      <c r="X78" t="s">
        <v>19</v>
      </c>
    </row>
    <row r="79" spans="1:24" x14ac:dyDescent="0.35">
      <c r="A79" t="s">
        <v>104</v>
      </c>
      <c r="B79" s="1">
        <v>34700</v>
      </c>
      <c r="C79" s="1">
        <v>47484</v>
      </c>
      <c r="D79" s="2" t="str">
        <f t="shared" si="2"/>
        <v>SWC_8_3_1</v>
      </c>
      <c r="E79" s="2" t="str">
        <f t="shared" si="3"/>
        <v>SWC_8_3_1</v>
      </c>
      <c r="F79" t="s">
        <v>18</v>
      </c>
      <c r="G79" t="s">
        <v>19</v>
      </c>
      <c r="H79" t="s">
        <v>96</v>
      </c>
      <c r="I79" t="s">
        <v>11</v>
      </c>
      <c r="J79">
        <v>8</v>
      </c>
      <c r="K79">
        <v>3</v>
      </c>
      <c r="L79">
        <v>1</v>
      </c>
      <c r="M79" t="s">
        <v>15</v>
      </c>
      <c r="N79" t="s">
        <v>16</v>
      </c>
      <c r="O79">
        <f>VLOOKUP($V79,naming_lookup!$C$1:$H$40,3,FALSE)</f>
        <v>0</v>
      </c>
      <c r="P79">
        <f>VLOOKUP($V79,naming_lookup!$C$1:$H$40,4,FALSE)</f>
        <v>100</v>
      </c>
      <c r="Q79">
        <v>100</v>
      </c>
      <c r="R79" s="2" t="s">
        <v>210</v>
      </c>
      <c r="S79" t="str">
        <f>VLOOKUP($V79,naming_lookup!$C$1:$H$40,5,FALSE)</f>
        <v>swvl1</v>
      </c>
      <c r="T79" t="str">
        <f>VLOOKUP($V79,naming_lookup!$C$1:$H$40,5,FALSE)</f>
        <v>swvl1</v>
      </c>
      <c r="U79" t="str">
        <f>VLOOKUP($V79,naming_lookup!$C$1:$H$40,6,FALSE)</f>
        <v>percent</v>
      </c>
      <c r="V79" t="s">
        <v>17</v>
      </c>
      <c r="W79" t="s">
        <v>18</v>
      </c>
      <c r="X79" t="s">
        <v>19</v>
      </c>
    </row>
    <row r="80" spans="1:24" x14ac:dyDescent="0.35">
      <c r="A80" t="s">
        <v>104</v>
      </c>
      <c r="B80" s="1">
        <v>34700</v>
      </c>
      <c r="C80" s="1">
        <v>47484</v>
      </c>
      <c r="D80" s="2" t="str">
        <f t="shared" si="2"/>
        <v>SWC_8_4_1</v>
      </c>
      <c r="E80" s="2" t="str">
        <f t="shared" si="3"/>
        <v>SWC_8_4_1</v>
      </c>
      <c r="F80" t="s">
        <v>18</v>
      </c>
      <c r="G80" t="s">
        <v>19</v>
      </c>
      <c r="H80" t="s">
        <v>96</v>
      </c>
      <c r="I80" t="s">
        <v>11</v>
      </c>
      <c r="J80">
        <v>8</v>
      </c>
      <c r="K80">
        <v>4</v>
      </c>
      <c r="L80">
        <v>1</v>
      </c>
      <c r="M80" t="s">
        <v>15</v>
      </c>
      <c r="N80" t="s">
        <v>16</v>
      </c>
      <c r="O80">
        <f>VLOOKUP($V80,naming_lookup!$C$1:$H$40,3,FALSE)</f>
        <v>0</v>
      </c>
      <c r="P80">
        <f>VLOOKUP($V80,naming_lookup!$C$1:$H$40,4,FALSE)</f>
        <v>100</v>
      </c>
      <c r="Q80">
        <v>100</v>
      </c>
      <c r="R80" s="2" t="s">
        <v>210</v>
      </c>
      <c r="S80" t="str">
        <f>VLOOKUP($V80,naming_lookup!$C$1:$H$40,5,FALSE)</f>
        <v>swvl1</v>
      </c>
      <c r="T80" t="str">
        <f>VLOOKUP($V80,naming_lookup!$C$1:$H$40,5,FALSE)</f>
        <v>swvl1</v>
      </c>
      <c r="U80" t="str">
        <f>VLOOKUP($V80,naming_lookup!$C$1:$H$40,6,FALSE)</f>
        <v>percent</v>
      </c>
      <c r="V80" t="s">
        <v>17</v>
      </c>
      <c r="W80" t="s">
        <v>18</v>
      </c>
      <c r="X80" t="s">
        <v>19</v>
      </c>
    </row>
    <row r="81" spans="1:24" x14ac:dyDescent="0.35">
      <c r="A81" t="s">
        <v>104</v>
      </c>
      <c r="B81" s="1">
        <v>34700</v>
      </c>
      <c r="C81" s="1">
        <v>47484</v>
      </c>
      <c r="D81" s="2" t="str">
        <f t="shared" si="2"/>
        <v>SWC_9_1_1</v>
      </c>
      <c r="E81" s="2" t="str">
        <f t="shared" si="3"/>
        <v>SWC_9_1_1</v>
      </c>
      <c r="F81" t="s">
        <v>18</v>
      </c>
      <c r="G81" t="s">
        <v>19</v>
      </c>
      <c r="H81" t="s">
        <v>96</v>
      </c>
      <c r="I81" t="s">
        <v>11</v>
      </c>
      <c r="J81">
        <v>9</v>
      </c>
      <c r="K81">
        <v>1</v>
      </c>
      <c r="L81">
        <v>1</v>
      </c>
      <c r="M81" t="s">
        <v>15</v>
      </c>
      <c r="N81" t="s">
        <v>16</v>
      </c>
      <c r="O81">
        <f>VLOOKUP($V81,naming_lookup!$C$1:$H$40,3,FALSE)</f>
        <v>0</v>
      </c>
      <c r="P81">
        <f>VLOOKUP($V81,naming_lookup!$C$1:$H$40,4,FALSE)</f>
        <v>100</v>
      </c>
      <c r="Q81">
        <v>100</v>
      </c>
      <c r="R81" s="2" t="s">
        <v>210</v>
      </c>
      <c r="S81" t="str">
        <f>VLOOKUP($V81,naming_lookup!$C$1:$H$40,5,FALSE)</f>
        <v>swvl1</v>
      </c>
      <c r="T81" t="str">
        <f>VLOOKUP($V81,naming_lookup!$C$1:$H$40,5,FALSE)</f>
        <v>swvl1</v>
      </c>
      <c r="U81" t="str">
        <f>VLOOKUP($V81,naming_lookup!$C$1:$H$40,6,FALSE)</f>
        <v>percent</v>
      </c>
      <c r="V81" t="s">
        <v>17</v>
      </c>
      <c r="W81" t="s">
        <v>18</v>
      </c>
      <c r="X81" t="s">
        <v>19</v>
      </c>
    </row>
    <row r="82" spans="1:24" x14ac:dyDescent="0.35">
      <c r="A82" t="s">
        <v>104</v>
      </c>
      <c r="B82" s="1">
        <v>34700</v>
      </c>
      <c r="C82" s="1">
        <v>47484</v>
      </c>
      <c r="D82" s="2" t="str">
        <f t="shared" si="2"/>
        <v>SWC_9_2_1</v>
      </c>
      <c r="E82" s="2" t="str">
        <f t="shared" si="3"/>
        <v>SWC_9_2_1</v>
      </c>
      <c r="F82" t="s">
        <v>18</v>
      </c>
      <c r="G82" t="s">
        <v>19</v>
      </c>
      <c r="H82" t="s">
        <v>96</v>
      </c>
      <c r="I82" t="s">
        <v>11</v>
      </c>
      <c r="J82">
        <v>9</v>
      </c>
      <c r="K82">
        <v>2</v>
      </c>
      <c r="L82">
        <v>1</v>
      </c>
      <c r="M82" t="s">
        <v>15</v>
      </c>
      <c r="N82" t="s">
        <v>16</v>
      </c>
      <c r="O82">
        <f>VLOOKUP($V82,naming_lookup!$C$1:$H$40,3,FALSE)</f>
        <v>0</v>
      </c>
      <c r="P82">
        <f>VLOOKUP($V82,naming_lookup!$C$1:$H$40,4,FALSE)</f>
        <v>100</v>
      </c>
      <c r="Q82">
        <v>100</v>
      </c>
      <c r="R82" s="2" t="s">
        <v>210</v>
      </c>
      <c r="S82" t="str">
        <f>VLOOKUP($V82,naming_lookup!$C$1:$H$40,5,FALSE)</f>
        <v>swvl1</v>
      </c>
      <c r="T82" t="str">
        <f>VLOOKUP($V82,naming_lookup!$C$1:$H$40,5,FALSE)</f>
        <v>swvl1</v>
      </c>
      <c r="U82" t="str">
        <f>VLOOKUP($V82,naming_lookup!$C$1:$H$40,6,FALSE)</f>
        <v>percent</v>
      </c>
      <c r="V82" t="s">
        <v>17</v>
      </c>
      <c r="W82" t="s">
        <v>18</v>
      </c>
      <c r="X82" t="s">
        <v>19</v>
      </c>
    </row>
    <row r="83" spans="1:24" x14ac:dyDescent="0.35">
      <c r="A83" t="s">
        <v>104</v>
      </c>
      <c r="B83" s="1">
        <v>34700</v>
      </c>
      <c r="C83" s="1">
        <v>47484</v>
      </c>
      <c r="D83" s="2" t="str">
        <f t="shared" si="2"/>
        <v>SWC_9_3_1</v>
      </c>
      <c r="E83" s="2" t="str">
        <f t="shared" si="3"/>
        <v>SWC_9_3_1</v>
      </c>
      <c r="F83" t="s">
        <v>18</v>
      </c>
      <c r="G83" t="s">
        <v>19</v>
      </c>
      <c r="H83" t="s">
        <v>96</v>
      </c>
      <c r="I83" t="s">
        <v>11</v>
      </c>
      <c r="J83">
        <v>9</v>
      </c>
      <c r="K83">
        <v>3</v>
      </c>
      <c r="L83">
        <v>1</v>
      </c>
      <c r="M83" t="s">
        <v>15</v>
      </c>
      <c r="N83" t="s">
        <v>16</v>
      </c>
      <c r="O83">
        <f>VLOOKUP($V83,naming_lookup!$C$1:$H$40,3,FALSE)</f>
        <v>0</v>
      </c>
      <c r="P83">
        <f>VLOOKUP($V83,naming_lookup!$C$1:$H$40,4,FALSE)</f>
        <v>100</v>
      </c>
      <c r="Q83">
        <v>100</v>
      </c>
      <c r="R83" s="2" t="s">
        <v>210</v>
      </c>
      <c r="S83" t="str">
        <f>VLOOKUP($V83,naming_lookup!$C$1:$H$40,5,FALSE)</f>
        <v>swvl1</v>
      </c>
      <c r="T83" t="str">
        <f>VLOOKUP($V83,naming_lookup!$C$1:$H$40,5,FALSE)</f>
        <v>swvl1</v>
      </c>
      <c r="U83" t="str">
        <f>VLOOKUP($V83,naming_lookup!$C$1:$H$40,6,FALSE)</f>
        <v>percent</v>
      </c>
      <c r="V83" t="s">
        <v>17</v>
      </c>
      <c r="W83" t="s">
        <v>18</v>
      </c>
      <c r="X83" t="s">
        <v>19</v>
      </c>
    </row>
    <row r="84" spans="1:24" x14ac:dyDescent="0.35">
      <c r="A84" t="s">
        <v>104</v>
      </c>
      <c r="B84" s="1">
        <v>34700</v>
      </c>
      <c r="C84" s="1">
        <v>47484</v>
      </c>
      <c r="D84" s="2" t="str">
        <f t="shared" si="2"/>
        <v>SWC_9_4_1</v>
      </c>
      <c r="E84" s="2" t="str">
        <f t="shared" si="3"/>
        <v>SWC_9_4_1</v>
      </c>
      <c r="F84" t="s">
        <v>18</v>
      </c>
      <c r="G84" t="s">
        <v>19</v>
      </c>
      <c r="H84" t="s">
        <v>96</v>
      </c>
      <c r="I84" t="s">
        <v>11</v>
      </c>
      <c r="J84">
        <v>9</v>
      </c>
      <c r="K84">
        <v>4</v>
      </c>
      <c r="L84">
        <v>1</v>
      </c>
      <c r="M84" t="s">
        <v>15</v>
      </c>
      <c r="N84" t="s">
        <v>16</v>
      </c>
      <c r="O84">
        <f>VLOOKUP($V84,naming_lookup!$C$1:$H$40,3,FALSE)</f>
        <v>0</v>
      </c>
      <c r="P84">
        <f>VLOOKUP($V84,naming_lookup!$C$1:$H$40,4,FALSE)</f>
        <v>100</v>
      </c>
      <c r="Q84">
        <v>100</v>
      </c>
      <c r="R84" s="2" t="s">
        <v>210</v>
      </c>
      <c r="S84" t="str">
        <f>VLOOKUP($V84,naming_lookup!$C$1:$H$40,5,FALSE)</f>
        <v>swvl1</v>
      </c>
      <c r="T84" t="str">
        <f>VLOOKUP($V84,naming_lookup!$C$1:$H$40,5,FALSE)</f>
        <v>swvl1</v>
      </c>
      <c r="U84" t="str">
        <f>VLOOKUP($V84,naming_lookup!$C$1:$H$40,6,FALSE)</f>
        <v>percent</v>
      </c>
      <c r="V84" t="s">
        <v>17</v>
      </c>
      <c r="W84" t="s">
        <v>18</v>
      </c>
      <c r="X84" t="s">
        <v>19</v>
      </c>
    </row>
    <row r="85" spans="1:24" x14ac:dyDescent="0.35">
      <c r="A85" t="s">
        <v>104</v>
      </c>
      <c r="B85" s="1">
        <v>34700</v>
      </c>
      <c r="C85" s="1">
        <v>47484</v>
      </c>
      <c r="D85" s="2" t="str">
        <f t="shared" si="2"/>
        <v>TS_10_1_1</v>
      </c>
      <c r="E85" s="2" t="str">
        <f t="shared" si="3"/>
        <v>TS_10_1_1</v>
      </c>
      <c r="F85" t="s">
        <v>13</v>
      </c>
      <c r="G85" t="s">
        <v>14</v>
      </c>
      <c r="H85" t="s">
        <v>97</v>
      </c>
      <c r="I85" t="s">
        <v>11</v>
      </c>
      <c r="J85">
        <v>10</v>
      </c>
      <c r="K85">
        <v>1</v>
      </c>
      <c r="L85">
        <v>1</v>
      </c>
      <c r="M85" t="s">
        <v>15</v>
      </c>
      <c r="N85" t="s">
        <v>16</v>
      </c>
      <c r="O85">
        <f>VLOOKUP($V85,naming_lookup!$C$1:$H$40,3,FALSE)</f>
        <v>-20</v>
      </c>
      <c r="P85">
        <f>VLOOKUP($V85,naming_lookup!$C$1:$H$40,4,FALSE)</f>
        <v>50</v>
      </c>
      <c r="Q85">
        <v>100</v>
      </c>
      <c r="R85" s="2" t="s">
        <v>210</v>
      </c>
      <c r="S85" t="str">
        <f>VLOOKUP($V85,naming_lookup!$C$1:$H$40,5,FALSE)</f>
        <v>stl1</v>
      </c>
      <c r="T85" t="str">
        <f>VLOOKUP($V85,naming_lookup!$C$1:$H$40,5,FALSE)</f>
        <v>stl1</v>
      </c>
      <c r="U85" t="str">
        <f>VLOOKUP($V85,naming_lookup!$C$1:$H$40,6,FALSE)</f>
        <v>degree_C</v>
      </c>
      <c r="V85" t="s">
        <v>12</v>
      </c>
      <c r="W85" t="s">
        <v>13</v>
      </c>
      <c r="X85" t="s">
        <v>14</v>
      </c>
    </row>
    <row r="86" spans="1:24" x14ac:dyDescent="0.35">
      <c r="A86" t="s">
        <v>104</v>
      </c>
      <c r="B86" s="1">
        <v>34700</v>
      </c>
      <c r="C86" s="1">
        <v>47484</v>
      </c>
      <c r="D86" s="2" t="str">
        <f t="shared" si="2"/>
        <v>TS_10_2_1</v>
      </c>
      <c r="E86" s="2" t="str">
        <f t="shared" si="3"/>
        <v>TS_10_2_1</v>
      </c>
      <c r="F86" t="s">
        <v>13</v>
      </c>
      <c r="G86" t="s">
        <v>14</v>
      </c>
      <c r="H86" t="s">
        <v>97</v>
      </c>
      <c r="I86" t="s">
        <v>11</v>
      </c>
      <c r="J86">
        <v>10</v>
      </c>
      <c r="K86">
        <v>2</v>
      </c>
      <c r="L86">
        <v>1</v>
      </c>
      <c r="M86" t="s">
        <v>15</v>
      </c>
      <c r="N86" t="s">
        <v>16</v>
      </c>
      <c r="O86">
        <f>VLOOKUP($V86,naming_lookup!$C$1:$H$40,3,FALSE)</f>
        <v>-20</v>
      </c>
      <c r="P86">
        <f>VLOOKUP($V86,naming_lookup!$C$1:$H$40,4,FALSE)</f>
        <v>50</v>
      </c>
      <c r="Q86">
        <v>100</v>
      </c>
      <c r="R86" s="2" t="s">
        <v>210</v>
      </c>
      <c r="S86" t="str">
        <f>VLOOKUP($V86,naming_lookup!$C$1:$H$40,5,FALSE)</f>
        <v>stl1</v>
      </c>
      <c r="T86" t="str">
        <f>VLOOKUP($V86,naming_lookup!$C$1:$H$40,5,FALSE)</f>
        <v>stl1</v>
      </c>
      <c r="U86" t="str">
        <f>VLOOKUP($V86,naming_lookup!$C$1:$H$40,6,FALSE)</f>
        <v>degree_C</v>
      </c>
      <c r="V86" t="s">
        <v>12</v>
      </c>
      <c r="W86" t="s">
        <v>13</v>
      </c>
      <c r="X86" t="s">
        <v>14</v>
      </c>
    </row>
    <row r="87" spans="1:24" x14ac:dyDescent="0.35">
      <c r="A87" t="s">
        <v>104</v>
      </c>
      <c r="B87" s="1">
        <v>34700</v>
      </c>
      <c r="C87" s="1">
        <v>47484</v>
      </c>
      <c r="D87" s="2" t="str">
        <f t="shared" si="2"/>
        <v>TS_10_3_1</v>
      </c>
      <c r="E87" s="2" t="str">
        <f t="shared" si="3"/>
        <v>TS_10_3_1</v>
      </c>
      <c r="F87" t="s">
        <v>13</v>
      </c>
      <c r="G87" t="s">
        <v>14</v>
      </c>
      <c r="H87" t="s">
        <v>97</v>
      </c>
      <c r="I87" t="s">
        <v>11</v>
      </c>
      <c r="J87">
        <v>10</v>
      </c>
      <c r="K87">
        <v>3</v>
      </c>
      <c r="L87">
        <v>1</v>
      </c>
      <c r="M87" t="s">
        <v>15</v>
      </c>
      <c r="N87" t="s">
        <v>16</v>
      </c>
      <c r="O87">
        <f>VLOOKUP($V87,naming_lookup!$C$1:$H$40,3,FALSE)</f>
        <v>-20</v>
      </c>
      <c r="P87">
        <f>VLOOKUP($V87,naming_lookup!$C$1:$H$40,4,FALSE)</f>
        <v>50</v>
      </c>
      <c r="Q87">
        <v>100</v>
      </c>
      <c r="R87" s="2" t="s">
        <v>210</v>
      </c>
      <c r="S87" t="str">
        <f>VLOOKUP($V87,naming_lookup!$C$1:$H$40,5,FALSE)</f>
        <v>stl1</v>
      </c>
      <c r="T87" t="str">
        <f>VLOOKUP($V87,naming_lookup!$C$1:$H$40,5,FALSE)</f>
        <v>stl1</v>
      </c>
      <c r="U87" t="str">
        <f>VLOOKUP($V87,naming_lookup!$C$1:$H$40,6,FALSE)</f>
        <v>degree_C</v>
      </c>
      <c r="V87" t="s">
        <v>12</v>
      </c>
      <c r="W87" t="s">
        <v>13</v>
      </c>
      <c r="X87" t="s">
        <v>14</v>
      </c>
    </row>
    <row r="88" spans="1:24" x14ac:dyDescent="0.35">
      <c r="A88" t="s">
        <v>104</v>
      </c>
      <c r="B88" s="1">
        <v>34700</v>
      </c>
      <c r="C88" s="1">
        <v>47484</v>
      </c>
      <c r="D88" s="2" t="str">
        <f t="shared" si="2"/>
        <v>TS_10_4_1</v>
      </c>
      <c r="E88" s="2" t="str">
        <f t="shared" si="3"/>
        <v>TS_10_4_1</v>
      </c>
      <c r="F88" t="s">
        <v>13</v>
      </c>
      <c r="G88" t="s">
        <v>14</v>
      </c>
      <c r="H88" t="s">
        <v>97</v>
      </c>
      <c r="I88" t="s">
        <v>11</v>
      </c>
      <c r="J88">
        <v>10</v>
      </c>
      <c r="K88">
        <v>4</v>
      </c>
      <c r="L88">
        <v>1</v>
      </c>
      <c r="M88" t="s">
        <v>15</v>
      </c>
      <c r="N88" t="s">
        <v>16</v>
      </c>
      <c r="O88">
        <f>VLOOKUP($V88,naming_lookup!$C$1:$H$40,3,FALSE)</f>
        <v>-20</v>
      </c>
      <c r="P88">
        <f>VLOOKUP($V88,naming_lookup!$C$1:$H$40,4,FALSE)</f>
        <v>50</v>
      </c>
      <c r="Q88">
        <v>100</v>
      </c>
      <c r="R88" s="2" t="s">
        <v>210</v>
      </c>
      <c r="S88" t="str">
        <f>VLOOKUP($V88,naming_lookup!$C$1:$H$40,5,FALSE)</f>
        <v>stl1</v>
      </c>
      <c r="T88" t="str">
        <f>VLOOKUP($V88,naming_lookup!$C$1:$H$40,5,FALSE)</f>
        <v>stl1</v>
      </c>
      <c r="U88" t="str">
        <f>VLOOKUP($V88,naming_lookup!$C$1:$H$40,6,FALSE)</f>
        <v>degree_C</v>
      </c>
      <c r="V88" t="s">
        <v>12</v>
      </c>
      <c r="W88" t="s">
        <v>13</v>
      </c>
      <c r="X88" t="s">
        <v>14</v>
      </c>
    </row>
    <row r="89" spans="1:24" x14ac:dyDescent="0.35">
      <c r="A89" t="s">
        <v>104</v>
      </c>
      <c r="B89" s="1">
        <v>34700</v>
      </c>
      <c r="C89" s="1">
        <v>47484</v>
      </c>
      <c r="D89" s="2" t="str">
        <f t="shared" si="2"/>
        <v>TS_10_5_1</v>
      </c>
      <c r="E89" s="2" t="str">
        <f t="shared" si="3"/>
        <v>TS_10_5_1</v>
      </c>
      <c r="F89" t="s">
        <v>13</v>
      </c>
      <c r="G89" t="s">
        <v>14</v>
      </c>
      <c r="H89" t="s">
        <v>97</v>
      </c>
      <c r="I89" t="s">
        <v>11</v>
      </c>
      <c r="J89">
        <v>10</v>
      </c>
      <c r="K89">
        <v>5</v>
      </c>
      <c r="L89">
        <v>1</v>
      </c>
      <c r="M89" t="s">
        <v>15</v>
      </c>
      <c r="N89" t="s">
        <v>16</v>
      </c>
      <c r="O89">
        <f>VLOOKUP($V89,naming_lookup!$C$1:$H$40,3,FALSE)</f>
        <v>-20</v>
      </c>
      <c r="P89">
        <f>VLOOKUP($V89,naming_lookup!$C$1:$H$40,4,FALSE)</f>
        <v>50</v>
      </c>
      <c r="Q89">
        <v>100</v>
      </c>
      <c r="R89" s="2" t="s">
        <v>210</v>
      </c>
      <c r="S89" t="str">
        <f>VLOOKUP($V89,naming_lookup!$C$1:$H$40,5,FALSE)</f>
        <v>stl1</v>
      </c>
      <c r="T89" t="str">
        <f>VLOOKUP($V89,naming_lookup!$C$1:$H$40,5,FALSE)</f>
        <v>stl1</v>
      </c>
      <c r="U89" t="str">
        <f>VLOOKUP($V89,naming_lookup!$C$1:$H$40,6,FALSE)</f>
        <v>degree_C</v>
      </c>
      <c r="V89" t="s">
        <v>12</v>
      </c>
      <c r="W89" t="s">
        <v>13</v>
      </c>
      <c r="X89" t="s">
        <v>14</v>
      </c>
    </row>
    <row r="90" spans="1:24" x14ac:dyDescent="0.35">
      <c r="A90" t="s">
        <v>104</v>
      </c>
      <c r="B90" s="1">
        <v>34700</v>
      </c>
      <c r="C90" s="1">
        <v>47484</v>
      </c>
      <c r="D90" s="2" t="str">
        <f t="shared" si="2"/>
        <v>TS_11_1_1</v>
      </c>
      <c r="E90" s="2" t="str">
        <f t="shared" si="3"/>
        <v>TS_11_1_1</v>
      </c>
      <c r="F90" t="s">
        <v>13</v>
      </c>
      <c r="G90" t="s">
        <v>14</v>
      </c>
      <c r="H90" t="s">
        <v>97</v>
      </c>
      <c r="I90" t="s">
        <v>11</v>
      </c>
      <c r="J90">
        <v>11</v>
      </c>
      <c r="K90">
        <v>1</v>
      </c>
      <c r="L90">
        <v>1</v>
      </c>
      <c r="M90" t="s">
        <v>15</v>
      </c>
      <c r="N90" t="s">
        <v>16</v>
      </c>
      <c r="O90">
        <f>VLOOKUP($V90,naming_lookup!$C$1:$H$40,3,FALSE)</f>
        <v>-20</v>
      </c>
      <c r="P90">
        <f>VLOOKUP($V90,naming_lookup!$C$1:$H$40,4,FALSE)</f>
        <v>50</v>
      </c>
      <c r="Q90">
        <v>100</v>
      </c>
      <c r="R90" s="2" t="s">
        <v>210</v>
      </c>
      <c r="S90" t="str">
        <f>VLOOKUP($V90,naming_lookup!$C$1:$H$40,5,FALSE)</f>
        <v>stl1</v>
      </c>
      <c r="T90" t="str">
        <f>VLOOKUP($V90,naming_lookup!$C$1:$H$40,5,FALSE)</f>
        <v>stl1</v>
      </c>
      <c r="U90" t="str">
        <f>VLOOKUP($V90,naming_lookup!$C$1:$H$40,6,FALSE)</f>
        <v>degree_C</v>
      </c>
      <c r="V90" t="s">
        <v>12</v>
      </c>
      <c r="W90" t="s">
        <v>13</v>
      </c>
      <c r="X90" t="s">
        <v>14</v>
      </c>
    </row>
    <row r="91" spans="1:24" x14ac:dyDescent="0.35">
      <c r="A91" t="s">
        <v>104</v>
      </c>
      <c r="B91" s="1">
        <v>34700</v>
      </c>
      <c r="C91" s="1">
        <v>47484</v>
      </c>
      <c r="D91" s="2" t="str">
        <f t="shared" si="2"/>
        <v>TS_11_2_1</v>
      </c>
      <c r="E91" s="2" t="str">
        <f t="shared" si="3"/>
        <v>TS_11_2_1</v>
      </c>
      <c r="F91" t="s">
        <v>13</v>
      </c>
      <c r="G91" t="s">
        <v>14</v>
      </c>
      <c r="H91" t="s">
        <v>97</v>
      </c>
      <c r="I91" t="s">
        <v>11</v>
      </c>
      <c r="J91">
        <v>11</v>
      </c>
      <c r="K91">
        <v>2</v>
      </c>
      <c r="L91">
        <v>1</v>
      </c>
      <c r="M91" t="s">
        <v>15</v>
      </c>
      <c r="N91" t="s">
        <v>16</v>
      </c>
      <c r="O91">
        <f>VLOOKUP($V91,naming_lookup!$C$1:$H$40,3,FALSE)</f>
        <v>-20</v>
      </c>
      <c r="P91">
        <f>VLOOKUP($V91,naming_lookup!$C$1:$H$40,4,FALSE)</f>
        <v>50</v>
      </c>
      <c r="Q91">
        <v>100</v>
      </c>
      <c r="R91" s="2" t="s">
        <v>210</v>
      </c>
      <c r="S91" t="str">
        <f>VLOOKUP($V91,naming_lookup!$C$1:$H$40,5,FALSE)</f>
        <v>stl1</v>
      </c>
      <c r="T91" t="str">
        <f>VLOOKUP($V91,naming_lookup!$C$1:$H$40,5,FALSE)</f>
        <v>stl1</v>
      </c>
      <c r="U91" t="str">
        <f>VLOOKUP($V91,naming_lookup!$C$1:$H$40,6,FALSE)</f>
        <v>degree_C</v>
      </c>
      <c r="V91" t="s">
        <v>12</v>
      </c>
      <c r="W91" t="s">
        <v>13</v>
      </c>
      <c r="X91" t="s">
        <v>14</v>
      </c>
    </row>
    <row r="92" spans="1:24" x14ac:dyDescent="0.35">
      <c r="A92" t="s">
        <v>104</v>
      </c>
      <c r="B92" s="1">
        <v>34700</v>
      </c>
      <c r="C92" s="1">
        <v>47484</v>
      </c>
      <c r="D92" s="2" t="str">
        <f t="shared" si="2"/>
        <v>TS_11_3_1</v>
      </c>
      <c r="E92" s="2" t="str">
        <f t="shared" si="3"/>
        <v>TS_11_3_1</v>
      </c>
      <c r="F92" t="s">
        <v>13</v>
      </c>
      <c r="G92" t="s">
        <v>14</v>
      </c>
      <c r="H92" t="s">
        <v>97</v>
      </c>
      <c r="I92" t="s">
        <v>11</v>
      </c>
      <c r="J92">
        <v>11</v>
      </c>
      <c r="K92">
        <v>3</v>
      </c>
      <c r="L92">
        <v>1</v>
      </c>
      <c r="M92" t="s">
        <v>15</v>
      </c>
      <c r="N92" t="s">
        <v>16</v>
      </c>
      <c r="O92">
        <f>VLOOKUP($V92,naming_lookup!$C$1:$H$40,3,FALSE)</f>
        <v>-20</v>
      </c>
      <c r="P92">
        <f>VLOOKUP($V92,naming_lookup!$C$1:$H$40,4,FALSE)</f>
        <v>50</v>
      </c>
      <c r="Q92">
        <v>100</v>
      </c>
      <c r="R92" s="2" t="s">
        <v>210</v>
      </c>
      <c r="S92" t="str">
        <f>VLOOKUP($V92,naming_lookup!$C$1:$H$40,5,FALSE)</f>
        <v>stl1</v>
      </c>
      <c r="T92" t="str">
        <f>VLOOKUP($V92,naming_lookup!$C$1:$H$40,5,FALSE)</f>
        <v>stl1</v>
      </c>
      <c r="U92" t="str">
        <f>VLOOKUP($V92,naming_lookup!$C$1:$H$40,6,FALSE)</f>
        <v>degree_C</v>
      </c>
      <c r="V92" t="s">
        <v>12</v>
      </c>
      <c r="W92" t="s">
        <v>13</v>
      </c>
      <c r="X92" t="s">
        <v>14</v>
      </c>
    </row>
    <row r="93" spans="1:24" x14ac:dyDescent="0.35">
      <c r="A93" t="s">
        <v>104</v>
      </c>
      <c r="B93" s="1">
        <v>34700</v>
      </c>
      <c r="C93" s="1">
        <v>47484</v>
      </c>
      <c r="D93" s="2" t="str">
        <f t="shared" si="2"/>
        <v>TS_11_4_1</v>
      </c>
      <c r="E93" s="2" t="str">
        <f t="shared" si="3"/>
        <v>TS_11_4_1</v>
      </c>
      <c r="F93" t="s">
        <v>13</v>
      </c>
      <c r="G93" t="s">
        <v>14</v>
      </c>
      <c r="H93" t="s">
        <v>97</v>
      </c>
      <c r="I93" t="s">
        <v>11</v>
      </c>
      <c r="J93">
        <v>11</v>
      </c>
      <c r="K93">
        <v>4</v>
      </c>
      <c r="L93">
        <v>1</v>
      </c>
      <c r="M93" t="s">
        <v>15</v>
      </c>
      <c r="N93" t="s">
        <v>16</v>
      </c>
      <c r="O93">
        <f>VLOOKUP($V93,naming_lookup!$C$1:$H$40,3,FALSE)</f>
        <v>-20</v>
      </c>
      <c r="P93">
        <f>VLOOKUP($V93,naming_lookup!$C$1:$H$40,4,FALSE)</f>
        <v>50</v>
      </c>
      <c r="Q93">
        <v>100</v>
      </c>
      <c r="R93" s="2" t="s">
        <v>210</v>
      </c>
      <c r="S93" t="str">
        <f>VLOOKUP($V93,naming_lookup!$C$1:$H$40,5,FALSE)</f>
        <v>stl1</v>
      </c>
      <c r="T93" t="str">
        <f>VLOOKUP($V93,naming_lookup!$C$1:$H$40,5,FALSE)</f>
        <v>stl1</v>
      </c>
      <c r="U93" t="str">
        <f>VLOOKUP($V93,naming_lookup!$C$1:$H$40,6,FALSE)</f>
        <v>degree_C</v>
      </c>
      <c r="V93" t="s">
        <v>12</v>
      </c>
      <c r="W93" t="s">
        <v>13</v>
      </c>
      <c r="X93" t="s">
        <v>14</v>
      </c>
    </row>
    <row r="94" spans="1:24" x14ac:dyDescent="0.35">
      <c r="A94" t="s">
        <v>104</v>
      </c>
      <c r="B94" s="1">
        <v>34700</v>
      </c>
      <c r="C94" s="1">
        <v>47484</v>
      </c>
      <c r="D94" s="2" t="str">
        <f t="shared" si="2"/>
        <v>TS_11_5_1</v>
      </c>
      <c r="E94" s="2" t="str">
        <f t="shared" si="3"/>
        <v>TS_11_5_1</v>
      </c>
      <c r="F94" t="s">
        <v>13</v>
      </c>
      <c r="G94" t="s">
        <v>14</v>
      </c>
      <c r="H94" t="s">
        <v>97</v>
      </c>
      <c r="I94" t="s">
        <v>11</v>
      </c>
      <c r="J94">
        <v>11</v>
      </c>
      <c r="K94">
        <v>5</v>
      </c>
      <c r="L94">
        <v>1</v>
      </c>
      <c r="M94" t="s">
        <v>15</v>
      </c>
      <c r="N94" t="s">
        <v>16</v>
      </c>
      <c r="O94">
        <f>VLOOKUP($V94,naming_lookup!$C$1:$H$40,3,FALSE)</f>
        <v>-20</v>
      </c>
      <c r="P94">
        <f>VLOOKUP($V94,naming_lookup!$C$1:$H$40,4,FALSE)</f>
        <v>50</v>
      </c>
      <c r="Q94">
        <v>100</v>
      </c>
      <c r="R94" s="2" t="s">
        <v>210</v>
      </c>
      <c r="S94" t="str">
        <f>VLOOKUP($V94,naming_lookup!$C$1:$H$40,5,FALSE)</f>
        <v>stl1</v>
      </c>
      <c r="T94" t="str">
        <f>VLOOKUP($V94,naming_lookup!$C$1:$H$40,5,FALSE)</f>
        <v>stl1</v>
      </c>
      <c r="U94" t="str">
        <f>VLOOKUP($V94,naming_lookup!$C$1:$H$40,6,FALSE)</f>
        <v>degree_C</v>
      </c>
      <c r="V94" t="s">
        <v>12</v>
      </c>
      <c r="W94" t="s">
        <v>13</v>
      </c>
      <c r="X94" t="s">
        <v>14</v>
      </c>
    </row>
    <row r="95" spans="1:24" x14ac:dyDescent="0.35">
      <c r="A95" t="s">
        <v>104</v>
      </c>
      <c r="B95" s="1">
        <v>34700</v>
      </c>
      <c r="C95" s="1">
        <v>47484</v>
      </c>
      <c r="D95" s="2" t="str">
        <f t="shared" si="2"/>
        <v>SWC_10_1_1</v>
      </c>
      <c r="E95" s="2" t="str">
        <f t="shared" si="3"/>
        <v>SWC_10_1_1</v>
      </c>
      <c r="F95" t="s">
        <v>18</v>
      </c>
      <c r="G95" t="s">
        <v>19</v>
      </c>
      <c r="H95" t="s">
        <v>96</v>
      </c>
      <c r="I95" t="s">
        <v>11</v>
      </c>
      <c r="J95">
        <v>10</v>
      </c>
      <c r="K95">
        <v>1</v>
      </c>
      <c r="L95">
        <v>1</v>
      </c>
      <c r="M95" t="s">
        <v>15</v>
      </c>
      <c r="N95" t="s">
        <v>16</v>
      </c>
      <c r="O95">
        <f>VLOOKUP($V95,naming_lookup!$C$1:$H$40,3,FALSE)</f>
        <v>0</v>
      </c>
      <c r="P95">
        <f>VLOOKUP($V95,naming_lookup!$C$1:$H$40,4,FALSE)</f>
        <v>100</v>
      </c>
      <c r="Q95">
        <v>100</v>
      </c>
      <c r="R95" s="2" t="s">
        <v>210</v>
      </c>
      <c r="S95" t="str">
        <f>VLOOKUP($V95,naming_lookup!$C$1:$H$40,5,FALSE)</f>
        <v>swvl1</v>
      </c>
      <c r="T95" t="str">
        <f>VLOOKUP($V95,naming_lookup!$C$1:$H$40,5,FALSE)</f>
        <v>swvl1</v>
      </c>
      <c r="U95" t="str">
        <f>VLOOKUP($V95,naming_lookup!$C$1:$H$40,6,FALSE)</f>
        <v>percent</v>
      </c>
      <c r="V95" t="s">
        <v>17</v>
      </c>
      <c r="W95" t="s">
        <v>18</v>
      </c>
      <c r="X95" t="s">
        <v>19</v>
      </c>
    </row>
    <row r="96" spans="1:24" x14ac:dyDescent="0.35">
      <c r="A96" t="s">
        <v>104</v>
      </c>
      <c r="B96" s="1">
        <v>34700</v>
      </c>
      <c r="C96" s="1">
        <v>47484</v>
      </c>
      <c r="D96" s="2" t="str">
        <f t="shared" si="2"/>
        <v>SWC_10_2_1</v>
      </c>
      <c r="E96" s="2" t="str">
        <f t="shared" si="3"/>
        <v>SWC_10_2_1</v>
      </c>
      <c r="F96" t="s">
        <v>18</v>
      </c>
      <c r="G96" t="s">
        <v>19</v>
      </c>
      <c r="H96" t="s">
        <v>96</v>
      </c>
      <c r="I96" t="s">
        <v>11</v>
      </c>
      <c r="J96">
        <v>10</v>
      </c>
      <c r="K96">
        <v>2</v>
      </c>
      <c r="L96">
        <v>1</v>
      </c>
      <c r="M96" t="s">
        <v>15</v>
      </c>
      <c r="N96" t="s">
        <v>16</v>
      </c>
      <c r="O96">
        <f>VLOOKUP($V96,naming_lookup!$C$1:$H$40,3,FALSE)</f>
        <v>0</v>
      </c>
      <c r="P96">
        <f>VLOOKUP($V96,naming_lookup!$C$1:$H$40,4,FALSE)</f>
        <v>100</v>
      </c>
      <c r="Q96">
        <v>100</v>
      </c>
      <c r="R96" s="2" t="s">
        <v>210</v>
      </c>
      <c r="S96" t="str">
        <f>VLOOKUP($V96,naming_lookup!$C$1:$H$40,5,FALSE)</f>
        <v>swvl1</v>
      </c>
      <c r="T96" t="str">
        <f>VLOOKUP($V96,naming_lookup!$C$1:$H$40,5,FALSE)</f>
        <v>swvl1</v>
      </c>
      <c r="U96" t="str">
        <f>VLOOKUP($V96,naming_lookup!$C$1:$H$40,6,FALSE)</f>
        <v>percent</v>
      </c>
      <c r="V96" t="s">
        <v>17</v>
      </c>
      <c r="W96" t="s">
        <v>18</v>
      </c>
      <c r="X96" t="s">
        <v>19</v>
      </c>
    </row>
    <row r="97" spans="1:24" x14ac:dyDescent="0.35">
      <c r="A97" t="s">
        <v>104</v>
      </c>
      <c r="B97" s="1">
        <v>34700</v>
      </c>
      <c r="C97" s="1">
        <v>47484</v>
      </c>
      <c r="D97" s="2" t="str">
        <f t="shared" si="2"/>
        <v>SWC_10_3_1</v>
      </c>
      <c r="E97" s="2" t="str">
        <f t="shared" si="3"/>
        <v>SWC_10_3_1</v>
      </c>
      <c r="F97" t="s">
        <v>18</v>
      </c>
      <c r="G97" t="s">
        <v>19</v>
      </c>
      <c r="H97" t="s">
        <v>96</v>
      </c>
      <c r="I97" t="s">
        <v>11</v>
      </c>
      <c r="J97">
        <v>10</v>
      </c>
      <c r="K97">
        <v>3</v>
      </c>
      <c r="L97">
        <v>1</v>
      </c>
      <c r="M97" t="s">
        <v>15</v>
      </c>
      <c r="N97" t="s">
        <v>16</v>
      </c>
      <c r="O97">
        <f>VLOOKUP($V97,naming_lookup!$C$1:$H$40,3,FALSE)</f>
        <v>0</v>
      </c>
      <c r="P97">
        <f>VLOOKUP($V97,naming_lookup!$C$1:$H$40,4,FALSE)</f>
        <v>100</v>
      </c>
      <c r="Q97">
        <v>100</v>
      </c>
      <c r="R97" s="2" t="s">
        <v>210</v>
      </c>
      <c r="S97" t="str">
        <f>VLOOKUP($V97,naming_lookup!$C$1:$H$40,5,FALSE)</f>
        <v>swvl1</v>
      </c>
      <c r="T97" t="str">
        <f>VLOOKUP($V97,naming_lookup!$C$1:$H$40,5,FALSE)</f>
        <v>swvl1</v>
      </c>
      <c r="U97" t="str">
        <f>VLOOKUP($V97,naming_lookup!$C$1:$H$40,6,FALSE)</f>
        <v>percent</v>
      </c>
      <c r="V97" t="s">
        <v>17</v>
      </c>
      <c r="W97" t="s">
        <v>18</v>
      </c>
      <c r="X97" t="s">
        <v>19</v>
      </c>
    </row>
    <row r="98" spans="1:24" x14ac:dyDescent="0.35">
      <c r="A98" t="s">
        <v>104</v>
      </c>
      <c r="B98" s="1">
        <v>34700</v>
      </c>
      <c r="C98" s="1">
        <v>47484</v>
      </c>
      <c r="D98" s="2" t="str">
        <f t="shared" si="2"/>
        <v>SWC_10_4_1</v>
      </c>
      <c r="E98" s="2" t="str">
        <f t="shared" si="3"/>
        <v>SWC_10_4_1</v>
      </c>
      <c r="F98" t="s">
        <v>18</v>
      </c>
      <c r="G98" t="s">
        <v>19</v>
      </c>
      <c r="H98" t="s">
        <v>96</v>
      </c>
      <c r="I98" t="s">
        <v>11</v>
      </c>
      <c r="J98">
        <v>10</v>
      </c>
      <c r="K98">
        <v>4</v>
      </c>
      <c r="L98">
        <v>1</v>
      </c>
      <c r="M98" t="s">
        <v>15</v>
      </c>
      <c r="N98" t="s">
        <v>16</v>
      </c>
      <c r="O98">
        <f>VLOOKUP($V98,naming_lookup!$C$1:$H$40,3,FALSE)</f>
        <v>0</v>
      </c>
      <c r="P98">
        <f>VLOOKUP($V98,naming_lookup!$C$1:$H$40,4,FALSE)</f>
        <v>100</v>
      </c>
      <c r="Q98">
        <v>100</v>
      </c>
      <c r="R98" s="2" t="s">
        <v>210</v>
      </c>
      <c r="S98" t="str">
        <f>VLOOKUP($V98,naming_lookup!$C$1:$H$40,5,FALSE)</f>
        <v>swvl1</v>
      </c>
      <c r="T98" t="str">
        <f>VLOOKUP($V98,naming_lookup!$C$1:$H$40,5,FALSE)</f>
        <v>swvl1</v>
      </c>
      <c r="U98" t="str">
        <f>VLOOKUP($V98,naming_lookup!$C$1:$H$40,6,FALSE)</f>
        <v>percent</v>
      </c>
      <c r="V98" t="s">
        <v>17</v>
      </c>
      <c r="W98" t="s">
        <v>18</v>
      </c>
      <c r="X98" t="s">
        <v>19</v>
      </c>
    </row>
    <row r="99" spans="1:24" x14ac:dyDescent="0.35">
      <c r="A99" t="s">
        <v>104</v>
      </c>
      <c r="B99" s="1">
        <v>34700</v>
      </c>
      <c r="C99" s="1">
        <v>47484</v>
      </c>
      <c r="D99" s="2" t="str">
        <f t="shared" si="2"/>
        <v>SWC_11_1_1</v>
      </c>
      <c r="E99" s="2" t="str">
        <f t="shared" si="3"/>
        <v>SWC_11_1_1</v>
      </c>
      <c r="F99" t="s">
        <v>18</v>
      </c>
      <c r="G99" t="s">
        <v>19</v>
      </c>
      <c r="H99" t="s">
        <v>96</v>
      </c>
      <c r="I99" t="s">
        <v>11</v>
      </c>
      <c r="J99">
        <v>11</v>
      </c>
      <c r="K99">
        <v>1</v>
      </c>
      <c r="L99">
        <v>1</v>
      </c>
      <c r="M99" t="s">
        <v>15</v>
      </c>
      <c r="N99" t="s">
        <v>16</v>
      </c>
      <c r="O99">
        <f>VLOOKUP($V99,naming_lookup!$C$1:$H$40,3,FALSE)</f>
        <v>0</v>
      </c>
      <c r="P99">
        <f>VLOOKUP($V99,naming_lookup!$C$1:$H$40,4,FALSE)</f>
        <v>100</v>
      </c>
      <c r="Q99">
        <v>100</v>
      </c>
      <c r="R99" s="2" t="s">
        <v>210</v>
      </c>
      <c r="S99" t="str">
        <f>VLOOKUP($V99,naming_lookup!$C$1:$H$40,5,FALSE)</f>
        <v>swvl1</v>
      </c>
      <c r="T99" t="str">
        <f>VLOOKUP($V99,naming_lookup!$C$1:$H$40,5,FALSE)</f>
        <v>swvl1</v>
      </c>
      <c r="U99" t="str">
        <f>VLOOKUP($V99,naming_lookup!$C$1:$H$40,6,FALSE)</f>
        <v>percent</v>
      </c>
      <c r="V99" t="s">
        <v>17</v>
      </c>
      <c r="W99" t="s">
        <v>18</v>
      </c>
      <c r="X99" t="s">
        <v>19</v>
      </c>
    </row>
    <row r="100" spans="1:24" x14ac:dyDescent="0.35">
      <c r="A100" t="s">
        <v>104</v>
      </c>
      <c r="B100" s="1">
        <v>34700</v>
      </c>
      <c r="C100" s="1">
        <v>47484</v>
      </c>
      <c r="D100" s="2" t="str">
        <f t="shared" si="2"/>
        <v>SWC_11_2_1</v>
      </c>
      <c r="E100" s="2" t="str">
        <f t="shared" si="3"/>
        <v>SWC_11_2_1</v>
      </c>
      <c r="F100" t="s">
        <v>18</v>
      </c>
      <c r="G100" t="s">
        <v>19</v>
      </c>
      <c r="H100" t="s">
        <v>96</v>
      </c>
      <c r="I100" t="s">
        <v>11</v>
      </c>
      <c r="J100">
        <v>11</v>
      </c>
      <c r="K100">
        <v>2</v>
      </c>
      <c r="L100">
        <v>1</v>
      </c>
      <c r="M100" t="s">
        <v>15</v>
      </c>
      <c r="N100" t="s">
        <v>16</v>
      </c>
      <c r="O100">
        <f>VLOOKUP($V100,naming_lookup!$C$1:$H$40,3,FALSE)</f>
        <v>0</v>
      </c>
      <c r="P100">
        <f>VLOOKUP($V100,naming_lookup!$C$1:$H$40,4,FALSE)</f>
        <v>100</v>
      </c>
      <c r="Q100">
        <v>100</v>
      </c>
      <c r="R100" s="2" t="s">
        <v>210</v>
      </c>
      <c r="S100" t="str">
        <f>VLOOKUP($V100,naming_lookup!$C$1:$H$40,5,FALSE)</f>
        <v>swvl1</v>
      </c>
      <c r="T100" t="str">
        <f>VLOOKUP($V100,naming_lookup!$C$1:$H$40,5,FALSE)</f>
        <v>swvl1</v>
      </c>
      <c r="U100" t="str">
        <f>VLOOKUP($V100,naming_lookup!$C$1:$H$40,6,FALSE)</f>
        <v>percent</v>
      </c>
      <c r="V100" t="s">
        <v>17</v>
      </c>
      <c r="W100" t="s">
        <v>18</v>
      </c>
      <c r="X100" t="s">
        <v>19</v>
      </c>
    </row>
    <row r="101" spans="1:24" x14ac:dyDescent="0.35">
      <c r="A101" t="s">
        <v>104</v>
      </c>
      <c r="B101" s="1">
        <v>34700</v>
      </c>
      <c r="C101" s="1">
        <v>47484</v>
      </c>
      <c r="D101" s="2" t="str">
        <f t="shared" si="2"/>
        <v>SWC_11_3_1</v>
      </c>
      <c r="E101" s="2" t="str">
        <f t="shared" si="3"/>
        <v>SWC_11_3_1</v>
      </c>
      <c r="F101" t="s">
        <v>18</v>
      </c>
      <c r="G101" t="s">
        <v>19</v>
      </c>
      <c r="H101" t="s">
        <v>96</v>
      </c>
      <c r="I101" t="s">
        <v>11</v>
      </c>
      <c r="J101">
        <v>11</v>
      </c>
      <c r="K101">
        <v>3</v>
      </c>
      <c r="L101">
        <v>1</v>
      </c>
      <c r="M101" t="s">
        <v>15</v>
      </c>
      <c r="N101" t="s">
        <v>16</v>
      </c>
      <c r="O101">
        <f>VLOOKUP($V101,naming_lookup!$C$1:$H$40,3,FALSE)</f>
        <v>0</v>
      </c>
      <c r="P101">
        <f>VLOOKUP($V101,naming_lookup!$C$1:$H$40,4,FALSE)</f>
        <v>100</v>
      </c>
      <c r="Q101">
        <v>100</v>
      </c>
      <c r="R101" s="2" t="s">
        <v>210</v>
      </c>
      <c r="S101" t="str">
        <f>VLOOKUP($V101,naming_lookup!$C$1:$H$40,5,FALSE)</f>
        <v>swvl1</v>
      </c>
      <c r="T101" t="str">
        <f>VLOOKUP($V101,naming_lookup!$C$1:$H$40,5,FALSE)</f>
        <v>swvl1</v>
      </c>
      <c r="U101" t="str">
        <f>VLOOKUP($V101,naming_lookup!$C$1:$H$40,6,FALSE)</f>
        <v>percent</v>
      </c>
      <c r="V101" t="s">
        <v>17</v>
      </c>
      <c r="W101" t="s">
        <v>18</v>
      </c>
      <c r="X101" t="s">
        <v>19</v>
      </c>
    </row>
    <row r="102" spans="1:24" x14ac:dyDescent="0.35">
      <c r="A102" t="s">
        <v>104</v>
      </c>
      <c r="B102" s="1">
        <v>34700</v>
      </c>
      <c r="C102" s="1">
        <v>47484</v>
      </c>
      <c r="D102" s="2" t="str">
        <f>E102</f>
        <v>SWC_11_4_1</v>
      </c>
      <c r="E102" s="2" t="str">
        <f>IF(J102="NA",V102,V102&amp;"_"&amp;J102&amp;"_"&amp;K102&amp;"_"&amp;L102)</f>
        <v>SWC_11_4_1</v>
      </c>
      <c r="F102" t="s">
        <v>18</v>
      </c>
      <c r="G102" t="s">
        <v>19</v>
      </c>
      <c r="H102" t="s">
        <v>96</v>
      </c>
      <c r="I102" t="s">
        <v>11</v>
      </c>
      <c r="J102">
        <v>11</v>
      </c>
      <c r="K102">
        <v>4</v>
      </c>
      <c r="L102">
        <v>1</v>
      </c>
      <c r="M102" t="s">
        <v>15</v>
      </c>
      <c r="N102" t="s">
        <v>16</v>
      </c>
      <c r="O102">
        <f>VLOOKUP($V102,naming_lookup!$C$1:$H$40,3,FALSE)</f>
        <v>0</v>
      </c>
      <c r="P102">
        <f>VLOOKUP($V102,naming_lookup!$C$1:$H$40,4,FALSE)</f>
        <v>100</v>
      </c>
      <c r="Q102">
        <v>100</v>
      </c>
      <c r="R102" s="2" t="s">
        <v>210</v>
      </c>
      <c r="S102" t="str">
        <f>VLOOKUP($V102,naming_lookup!$C$1:$H$40,5,FALSE)</f>
        <v>swvl1</v>
      </c>
      <c r="T102" t="str">
        <f>VLOOKUP($V102,naming_lookup!$C$1:$H$40,5,FALSE)</f>
        <v>swvl1</v>
      </c>
      <c r="U102" t="str">
        <f>VLOOKUP($V102,naming_lookup!$C$1:$H$40,6,FALSE)</f>
        <v>percent</v>
      </c>
      <c r="V102" t="s">
        <v>17</v>
      </c>
      <c r="W102" t="s">
        <v>18</v>
      </c>
      <c r="X102" t="s">
        <v>19</v>
      </c>
    </row>
    <row r="103" spans="1:24" x14ac:dyDescent="0.35">
      <c r="A103" s="2" t="s">
        <v>106</v>
      </c>
      <c r="B103" s="1">
        <v>37257</v>
      </c>
      <c r="C103" s="1">
        <v>47484</v>
      </c>
      <c r="D103" t="s">
        <v>103</v>
      </c>
      <c r="E103" t="s">
        <v>103</v>
      </c>
      <c r="F103" t="s">
        <v>103</v>
      </c>
      <c r="G103" t="s">
        <v>11</v>
      </c>
      <c r="H103" t="s">
        <v>103</v>
      </c>
      <c r="I103" t="s">
        <v>11</v>
      </c>
      <c r="J103" t="s">
        <v>11</v>
      </c>
      <c r="K103" t="s">
        <v>11</v>
      </c>
      <c r="L103" t="s">
        <v>11</v>
      </c>
      <c r="M103" t="s">
        <v>15</v>
      </c>
      <c r="N103" t="s">
        <v>16</v>
      </c>
      <c r="O103" t="e">
        <f>VLOOKUP($V103,naming_lookup!$C$1:$H$40,3,FALSE)</f>
        <v>#N/A</v>
      </c>
      <c r="P103" t="e">
        <f>VLOOKUP($V103,naming_lookup!$C$1:$H$40,4,FALSE)</f>
        <v>#N/A</v>
      </c>
      <c r="Q103">
        <v>100</v>
      </c>
      <c r="R103" s="2" t="s">
        <v>210</v>
      </c>
      <c r="S103" t="str">
        <f>VLOOKUP($V103,naming_lookup!$C$1:$H$40,5,FALSE)</f>
        <v>site</v>
      </c>
      <c r="T103" t="str">
        <f>VLOOKUP($V103,naming_lookup!$C$1:$H$40,5,FALSE)</f>
        <v>site</v>
      </c>
      <c r="U103" t="str">
        <f>VLOOKUP($V103,naming_lookup!$C$1:$H$40,6,FALSE)</f>
        <v>NA</v>
      </c>
      <c r="V103" t="s">
        <v>103</v>
      </c>
      <c r="W103" t="s">
        <v>103</v>
      </c>
      <c r="X103" t="s">
        <v>11</v>
      </c>
    </row>
    <row r="104" spans="1:24" x14ac:dyDescent="0.35">
      <c r="A104" s="2" t="s">
        <v>106</v>
      </c>
      <c r="B104" s="1">
        <v>37257</v>
      </c>
      <c r="C104" s="1">
        <v>47484</v>
      </c>
      <c r="D104" t="s">
        <v>213</v>
      </c>
      <c r="E104" t="s">
        <v>213</v>
      </c>
      <c r="F104" s="2" t="s">
        <v>86</v>
      </c>
      <c r="G104" t="s">
        <v>11</v>
      </c>
      <c r="H104" t="s">
        <v>91</v>
      </c>
      <c r="I104" s="2" t="s">
        <v>224</v>
      </c>
      <c r="J104" t="s">
        <v>11</v>
      </c>
      <c r="K104" t="s">
        <v>11</v>
      </c>
      <c r="L104" t="s">
        <v>11</v>
      </c>
      <c r="M104" t="s">
        <v>15</v>
      </c>
      <c r="N104" t="s">
        <v>16</v>
      </c>
      <c r="O104" t="e">
        <f>VLOOKUP($V104,naming_lookup!$C$1:$H$40,3,FALSE)</f>
        <v>#N/A</v>
      </c>
      <c r="P104" t="e">
        <f>VLOOKUP($V104,naming_lookup!$C$1:$H$40,4,FALSE)</f>
        <v>#N/A</v>
      </c>
      <c r="Q104" t="s">
        <v>11</v>
      </c>
      <c r="R104" s="2" t="s">
        <v>11</v>
      </c>
      <c r="S104" t="str">
        <f>VLOOKUP($V104,naming_lookup!$C$1:$H$40,5,FALSE)</f>
        <v>time</v>
      </c>
      <c r="T104" t="str">
        <f>VLOOKUP($V104,naming_lookup!$C$1:$H$40,5,FALSE)</f>
        <v>time</v>
      </c>
      <c r="U104" t="str">
        <f>VLOOKUP($V104,naming_lookup!$C$1:$H$40,6,FALSE)</f>
        <v>NA</v>
      </c>
      <c r="V104" t="s">
        <v>85</v>
      </c>
      <c r="W104" s="2" t="s">
        <v>86</v>
      </c>
      <c r="X104" t="s">
        <v>11</v>
      </c>
    </row>
    <row r="105" spans="1:24" x14ac:dyDescent="0.35">
      <c r="A105" s="2" t="s">
        <v>106</v>
      </c>
      <c r="B105" s="1">
        <v>37257</v>
      </c>
      <c r="C105" s="1">
        <v>47484</v>
      </c>
      <c r="D105" t="s">
        <v>214</v>
      </c>
      <c r="E105" t="s">
        <v>214</v>
      </c>
      <c r="F105" t="s">
        <v>49</v>
      </c>
      <c r="G105" t="s">
        <v>208</v>
      </c>
      <c r="H105" s="2" t="s">
        <v>101</v>
      </c>
      <c r="I105" t="s">
        <v>11</v>
      </c>
      <c r="J105">
        <v>1</v>
      </c>
      <c r="K105">
        <v>1</v>
      </c>
      <c r="L105">
        <v>1</v>
      </c>
      <c r="M105" t="s">
        <v>15</v>
      </c>
      <c r="N105" t="s">
        <v>16</v>
      </c>
      <c r="O105">
        <f>VLOOKUP($V105,naming_lookup!$C$1:$H$40,3,FALSE)</f>
        <v>0</v>
      </c>
      <c r="P105">
        <f>VLOOKUP($V105,naming_lookup!$C$1:$H$40,4,FALSE)</f>
        <v>50</v>
      </c>
      <c r="Q105">
        <v>100</v>
      </c>
      <c r="R105" s="2" t="s">
        <v>210</v>
      </c>
      <c r="S105" t="str">
        <f>VLOOKUP($V105,naming_lookup!$C$1:$H$40,5,FALSE)</f>
        <v>tp</v>
      </c>
      <c r="T105" t="str">
        <f>VLOOKUP($V105,naming_lookup!$C$1:$H$40,5,FALSE)</f>
        <v>tp</v>
      </c>
      <c r="U105" t="str">
        <f>VLOOKUP($V105,naming_lookup!$C$1:$H$40,6,FALSE)</f>
        <v>mm</v>
      </c>
      <c r="V105" t="s">
        <v>48</v>
      </c>
      <c r="W105" t="s">
        <v>49</v>
      </c>
      <c r="X105" t="s">
        <v>208</v>
      </c>
    </row>
    <row r="106" spans="1:24" x14ac:dyDescent="0.35">
      <c r="A106" s="2" t="s">
        <v>106</v>
      </c>
      <c r="B106" s="1">
        <v>37257</v>
      </c>
      <c r="C106" s="1">
        <v>47484</v>
      </c>
      <c r="D106" t="s">
        <v>135</v>
      </c>
      <c r="E106" t="s">
        <v>135</v>
      </c>
      <c r="F106" t="s">
        <v>82</v>
      </c>
      <c r="G106" t="s">
        <v>83</v>
      </c>
      <c r="H106" t="s">
        <v>93</v>
      </c>
      <c r="I106" t="s">
        <v>11</v>
      </c>
      <c r="J106">
        <v>1</v>
      </c>
      <c r="K106">
        <v>1</v>
      </c>
      <c r="L106">
        <v>1</v>
      </c>
      <c r="M106" t="s">
        <v>15</v>
      </c>
      <c r="N106" t="s">
        <v>16</v>
      </c>
      <c r="O106">
        <f>VLOOKUP($V106,naming_lookup!$C$1:$H$40,3,FALSE)</f>
        <v>-99999</v>
      </c>
      <c r="P106">
        <f>VLOOKUP($V106,naming_lookup!$C$1:$H$40,4,FALSE)</f>
        <v>99999</v>
      </c>
      <c r="Q106">
        <v>100</v>
      </c>
      <c r="R106" s="2" t="s">
        <v>210</v>
      </c>
      <c r="S106" t="str">
        <f>VLOOKUP($V106,naming_lookup!$C$1:$H$40,5,FALSE)</f>
        <v>rh</v>
      </c>
      <c r="T106" t="str">
        <f>VLOOKUP($V106,naming_lookup!$C$1:$H$40,5,FALSE)</f>
        <v>rh</v>
      </c>
      <c r="U106">
        <f>VLOOKUP($V106,naming_lookup!$C$1:$H$40,6,FALSE)</f>
        <v>1</v>
      </c>
      <c r="V106" t="s">
        <v>135</v>
      </c>
      <c r="W106" t="s">
        <v>82</v>
      </c>
      <c r="X106" t="s">
        <v>83</v>
      </c>
    </row>
    <row r="107" spans="1:24" x14ac:dyDescent="0.35">
      <c r="A107" s="2" t="s">
        <v>106</v>
      </c>
      <c r="B107" s="1">
        <v>37257</v>
      </c>
      <c r="C107" s="1">
        <v>47484</v>
      </c>
      <c r="D107" t="s">
        <v>215</v>
      </c>
      <c r="E107" t="s">
        <v>215</v>
      </c>
      <c r="F107" t="s">
        <v>68</v>
      </c>
      <c r="G107" t="s">
        <v>174</v>
      </c>
      <c r="H107" t="s">
        <v>97</v>
      </c>
      <c r="I107" t="s">
        <v>11</v>
      </c>
      <c r="J107">
        <v>1</v>
      </c>
      <c r="K107">
        <v>1</v>
      </c>
      <c r="L107">
        <v>1</v>
      </c>
      <c r="M107" t="s">
        <v>15</v>
      </c>
      <c r="N107" t="s">
        <v>16</v>
      </c>
      <c r="O107">
        <f>VLOOKUP($V107,naming_lookup!$C$1:$H$40,3,FALSE)</f>
        <v>-40</v>
      </c>
      <c r="P107">
        <f>VLOOKUP($V107,naming_lookup!$C$1:$H$40,4,FALSE)</f>
        <v>50</v>
      </c>
      <c r="Q107">
        <v>100</v>
      </c>
      <c r="R107" s="2" t="s">
        <v>210</v>
      </c>
      <c r="S107" t="str">
        <f>VLOOKUP($V107,naming_lookup!$C$1:$H$40,5,FALSE)</f>
        <v>t2m</v>
      </c>
      <c r="T107" t="str">
        <f>VLOOKUP($V107,naming_lookup!$C$1:$H$40,5,FALSE)</f>
        <v>t2m</v>
      </c>
      <c r="U107" t="str">
        <f>VLOOKUP($V107,naming_lookup!$C$1:$H$40,6,FALSE)</f>
        <v>degree_C</v>
      </c>
      <c r="V107" t="s">
        <v>67</v>
      </c>
      <c r="W107" t="s">
        <v>68</v>
      </c>
      <c r="X107" t="s">
        <v>174</v>
      </c>
    </row>
    <row r="108" spans="1:24" x14ac:dyDescent="0.35">
      <c r="A108" s="2" t="s">
        <v>106</v>
      </c>
      <c r="B108" s="1">
        <v>37257</v>
      </c>
      <c r="C108" s="1">
        <v>47484</v>
      </c>
      <c r="D108" t="s">
        <v>69</v>
      </c>
      <c r="E108" t="s">
        <v>69</v>
      </c>
      <c r="F108" t="s">
        <v>70</v>
      </c>
      <c r="G108" t="s">
        <v>158</v>
      </c>
      <c r="H108" t="s">
        <v>95</v>
      </c>
      <c r="I108" t="s">
        <v>11</v>
      </c>
      <c r="J108">
        <v>1</v>
      </c>
      <c r="K108">
        <v>1</v>
      </c>
      <c r="L108">
        <v>1</v>
      </c>
      <c r="M108" t="s">
        <v>15</v>
      </c>
      <c r="N108" t="s">
        <v>16</v>
      </c>
      <c r="O108">
        <f>VLOOKUP($V108,naming_lookup!$C$1:$H$40,3,FALSE)</f>
        <v>30</v>
      </c>
      <c r="P108">
        <f>VLOOKUP($V108,naming_lookup!$C$1:$H$40,4,FALSE)</f>
        <v>120</v>
      </c>
      <c r="Q108">
        <v>100</v>
      </c>
      <c r="R108" s="2" t="s">
        <v>210</v>
      </c>
      <c r="S108" t="str">
        <f>VLOOKUP($V108,naming_lookup!$C$1:$H$40,5,FALSE)</f>
        <v>rh</v>
      </c>
      <c r="T108" t="str">
        <f>VLOOKUP($V108,naming_lookup!$C$1:$H$40,5,FALSE)</f>
        <v>rh</v>
      </c>
      <c r="U108" t="str">
        <f>VLOOKUP($V108,naming_lookup!$C$1:$H$40,6,FALSE)</f>
        <v>percent</v>
      </c>
      <c r="V108" t="s">
        <v>69</v>
      </c>
      <c r="W108" t="s">
        <v>70</v>
      </c>
      <c r="X108" t="s">
        <v>158</v>
      </c>
    </row>
    <row r="109" spans="1:24" x14ac:dyDescent="0.35">
      <c r="A109" s="2" t="s">
        <v>106</v>
      </c>
      <c r="B109" s="1">
        <v>37257</v>
      </c>
      <c r="C109" s="1">
        <v>47484</v>
      </c>
      <c r="D109" t="s">
        <v>216</v>
      </c>
      <c r="E109" t="s">
        <v>216</v>
      </c>
      <c r="F109" t="s">
        <v>41</v>
      </c>
      <c r="G109" t="s">
        <v>138</v>
      </c>
      <c r="H109" t="s">
        <v>92</v>
      </c>
      <c r="I109" t="s">
        <v>11</v>
      </c>
      <c r="J109">
        <v>1</v>
      </c>
      <c r="K109">
        <v>1</v>
      </c>
      <c r="L109">
        <v>1</v>
      </c>
      <c r="M109" t="s">
        <v>15</v>
      </c>
      <c r="N109" t="s">
        <v>16</v>
      </c>
      <c r="O109">
        <f>VLOOKUP($V109,naming_lookup!$C$1:$H$40,3,FALSE)</f>
        <v>0</v>
      </c>
      <c r="P109">
        <f>VLOOKUP($V109,naming_lookup!$C$1:$H$40,4,FALSE)</f>
        <v>2200</v>
      </c>
      <c r="Q109">
        <v>100</v>
      </c>
      <c r="R109" s="2" t="s">
        <v>210</v>
      </c>
      <c r="S109" t="str">
        <f>VLOOKUP($V109,naming_lookup!$C$1:$H$40,5,FALSE)</f>
        <v>ssrd</v>
      </c>
      <c r="T109" t="str">
        <f>VLOOKUP($V109,naming_lookup!$C$1:$H$40,5,FALSE)</f>
        <v>ssrd</v>
      </c>
      <c r="U109" t="str">
        <f>VLOOKUP($V109,naming_lookup!$C$1:$H$40,6,FALSE)</f>
        <v>micromol / m^2 / s</v>
      </c>
      <c r="V109" s="2" t="s">
        <v>40</v>
      </c>
      <c r="W109" t="s">
        <v>41</v>
      </c>
      <c r="X109" t="s">
        <v>138</v>
      </c>
    </row>
    <row r="110" spans="1:24" x14ac:dyDescent="0.35">
      <c r="A110" s="2" t="s">
        <v>106</v>
      </c>
      <c r="B110" s="1">
        <v>37257</v>
      </c>
      <c r="C110" s="1">
        <v>47484</v>
      </c>
      <c r="D110" t="s">
        <v>217</v>
      </c>
      <c r="E110" t="s">
        <v>217</v>
      </c>
      <c r="F110" s="2" t="s">
        <v>222</v>
      </c>
      <c r="G110" t="s">
        <v>125</v>
      </c>
      <c r="H110" t="s">
        <v>92</v>
      </c>
      <c r="I110" t="s">
        <v>11</v>
      </c>
      <c r="J110">
        <v>1</v>
      </c>
      <c r="K110">
        <v>1</v>
      </c>
      <c r="L110">
        <v>1</v>
      </c>
      <c r="M110" t="s">
        <v>15</v>
      </c>
      <c r="N110" t="s">
        <v>16</v>
      </c>
      <c r="O110">
        <f>VLOOKUP($V110,naming_lookup!$C$1:$H$40,3,FALSE)</f>
        <v>0</v>
      </c>
      <c r="P110">
        <f>VLOOKUP($V110,naming_lookup!$C$1:$H$40,4,FALSE)</f>
        <v>1200</v>
      </c>
      <c r="Q110">
        <v>100</v>
      </c>
      <c r="R110" s="2" t="s">
        <v>210</v>
      </c>
      <c r="S110" t="str">
        <f>VLOOKUP($V110,naming_lookup!$C$1:$H$40,5,FALSE)</f>
        <v>ssrd</v>
      </c>
      <c r="T110" t="str">
        <f>VLOOKUP($V110,naming_lookup!$C$1:$H$40,5,FALSE)</f>
        <v>ssrd</v>
      </c>
      <c r="U110" t="str">
        <f>VLOOKUP($V110,naming_lookup!$C$1:$H$40,6,FALSE)</f>
        <v>W / m^2</v>
      </c>
      <c r="V110" t="s">
        <v>31</v>
      </c>
      <c r="W110" s="2" t="s">
        <v>222</v>
      </c>
      <c r="X110" t="s">
        <v>125</v>
      </c>
    </row>
    <row r="111" spans="1:24" x14ac:dyDescent="0.35">
      <c r="A111" s="2" t="s">
        <v>106</v>
      </c>
      <c r="B111" s="1">
        <v>37257</v>
      </c>
      <c r="C111" s="1">
        <v>47484</v>
      </c>
      <c r="D111" t="s">
        <v>218</v>
      </c>
      <c r="E111" t="s">
        <v>218</v>
      </c>
      <c r="F111" t="s">
        <v>60</v>
      </c>
      <c r="G111" t="s">
        <v>125</v>
      </c>
      <c r="H111" t="s">
        <v>92</v>
      </c>
      <c r="I111" t="s">
        <v>11</v>
      </c>
      <c r="J111">
        <v>1</v>
      </c>
      <c r="K111">
        <v>1</v>
      </c>
      <c r="L111">
        <v>1</v>
      </c>
      <c r="M111" t="s">
        <v>15</v>
      </c>
      <c r="N111" t="s">
        <v>16</v>
      </c>
      <c r="O111">
        <f>VLOOKUP($V111,naming_lookup!$C$1:$H$40,3,FALSE)</f>
        <v>-500</v>
      </c>
      <c r="P111">
        <f>VLOOKUP($V111,naming_lookup!$C$1:$H$40,4,FALSE)</f>
        <v>1200</v>
      </c>
      <c r="Q111">
        <v>100</v>
      </c>
      <c r="R111" s="2" t="s">
        <v>210</v>
      </c>
      <c r="S111" t="str">
        <f>VLOOKUP($V111,naming_lookup!$C$1:$H$40,5,FALSE)</f>
        <v>rn</v>
      </c>
      <c r="T111" t="str">
        <f>VLOOKUP($V111,naming_lookup!$C$1:$H$40,5,FALSE)</f>
        <v>rn</v>
      </c>
      <c r="U111" t="str">
        <f>VLOOKUP($V111,naming_lookup!$C$1:$H$40,6,FALSE)</f>
        <v>W / m^2</v>
      </c>
      <c r="V111" t="s">
        <v>100</v>
      </c>
      <c r="W111" t="s">
        <v>60</v>
      </c>
      <c r="X111" t="s">
        <v>125</v>
      </c>
    </row>
    <row r="112" spans="1:24" x14ac:dyDescent="0.35">
      <c r="A112" s="2" t="s">
        <v>106</v>
      </c>
      <c r="B112" s="1">
        <v>37257</v>
      </c>
      <c r="C112" s="1">
        <v>47484</v>
      </c>
      <c r="D112" t="s">
        <v>51</v>
      </c>
      <c r="E112" t="s">
        <v>51</v>
      </c>
      <c r="F112" t="s">
        <v>52</v>
      </c>
      <c r="G112" t="s">
        <v>207</v>
      </c>
      <c r="H112" s="2" t="s">
        <v>98</v>
      </c>
      <c r="I112" t="s">
        <v>11</v>
      </c>
      <c r="J112">
        <v>1</v>
      </c>
      <c r="K112">
        <v>1</v>
      </c>
      <c r="L112">
        <v>1</v>
      </c>
      <c r="M112" t="s">
        <v>15</v>
      </c>
      <c r="N112" t="s">
        <v>16</v>
      </c>
      <c r="O112">
        <f>VLOOKUP($V112,naming_lookup!$C$1:$H$40,3,FALSE)</f>
        <v>0</v>
      </c>
      <c r="P112">
        <f>VLOOKUP($V112,naming_lookup!$C$1:$H$40,4,FALSE)</f>
        <v>30</v>
      </c>
      <c r="Q112">
        <v>100</v>
      </c>
      <c r="R112" s="2" t="s">
        <v>210</v>
      </c>
      <c r="S112" t="str">
        <f>VLOOKUP($V112,naming_lookup!$C$1:$H$40,5,FALSE)</f>
        <v>ws</v>
      </c>
      <c r="T112" t="str">
        <f>VLOOKUP($V112,naming_lookup!$C$1:$H$40,5,FALSE)</f>
        <v>ws</v>
      </c>
      <c r="U112" t="str">
        <f>VLOOKUP($V112,naming_lookup!$C$1:$H$40,6,FALSE)</f>
        <v>m / s</v>
      </c>
      <c r="V112" t="s">
        <v>51</v>
      </c>
      <c r="W112" t="s">
        <v>52</v>
      </c>
      <c r="X112" t="s">
        <v>207</v>
      </c>
    </row>
    <row r="113" spans="1:24" x14ac:dyDescent="0.35">
      <c r="A113" s="2" t="s">
        <v>106</v>
      </c>
      <c r="B113" s="1">
        <v>37257</v>
      </c>
      <c r="C113" s="1">
        <v>47484</v>
      </c>
      <c r="D113" t="s">
        <v>54</v>
      </c>
      <c r="E113" t="s">
        <v>54</v>
      </c>
      <c r="F113" t="s">
        <v>55</v>
      </c>
      <c r="G113" t="s">
        <v>181</v>
      </c>
      <c r="H113" t="s">
        <v>99</v>
      </c>
      <c r="I113" t="s">
        <v>11</v>
      </c>
      <c r="J113">
        <v>1</v>
      </c>
      <c r="K113">
        <v>1</v>
      </c>
      <c r="L113">
        <v>1</v>
      </c>
      <c r="M113" t="s">
        <v>15</v>
      </c>
      <c r="N113" t="s">
        <v>16</v>
      </c>
      <c r="O113">
        <f>VLOOKUP($V113,naming_lookup!$C$1:$H$40,3,FALSE)</f>
        <v>0</v>
      </c>
      <c r="P113">
        <f>VLOOKUP($V113,naming_lookup!$C$1:$H$40,4,FALSE)</f>
        <v>360</v>
      </c>
      <c r="Q113">
        <v>100</v>
      </c>
      <c r="R113" s="2" t="s">
        <v>210</v>
      </c>
      <c r="S113" t="str">
        <f>VLOOKUP($V113,naming_lookup!$C$1:$H$40,5,FALSE)</f>
        <v>wd</v>
      </c>
      <c r="T113" t="str">
        <f>VLOOKUP($V113,naming_lookup!$C$1:$H$40,5,FALSE)</f>
        <v>wd</v>
      </c>
      <c r="U113" t="str">
        <f>VLOOKUP($V113,naming_lookup!$C$1:$H$40,6,FALSE)</f>
        <v>degree</v>
      </c>
      <c r="V113" t="s">
        <v>54</v>
      </c>
      <c r="W113" t="s">
        <v>55</v>
      </c>
      <c r="X113" t="s">
        <v>181</v>
      </c>
    </row>
    <row r="114" spans="1:24" x14ac:dyDescent="0.35">
      <c r="A114" s="2" t="s">
        <v>106</v>
      </c>
      <c r="B114" s="1">
        <v>37257</v>
      </c>
      <c r="C114" s="1">
        <v>47484</v>
      </c>
      <c r="D114" t="s">
        <v>219</v>
      </c>
      <c r="E114" t="s">
        <v>219</v>
      </c>
      <c r="F114" t="s">
        <v>18</v>
      </c>
      <c r="G114" t="s">
        <v>158</v>
      </c>
      <c r="H114" t="s">
        <v>96</v>
      </c>
      <c r="I114" t="s">
        <v>11</v>
      </c>
      <c r="J114">
        <v>1</v>
      </c>
      <c r="K114">
        <v>1</v>
      </c>
      <c r="L114">
        <v>1</v>
      </c>
      <c r="M114" t="s">
        <v>15</v>
      </c>
      <c r="N114" t="s">
        <v>16</v>
      </c>
      <c r="O114">
        <f>VLOOKUP($V114,naming_lookup!$C$1:$H$40,3,FALSE)</f>
        <v>0</v>
      </c>
      <c r="P114">
        <f>VLOOKUP($V114,naming_lookup!$C$1:$H$40,4,FALSE)</f>
        <v>100</v>
      </c>
      <c r="Q114">
        <v>100</v>
      </c>
      <c r="R114" s="2" t="s">
        <v>210</v>
      </c>
      <c r="S114" t="str">
        <f>VLOOKUP($V114,naming_lookup!$C$1:$H$40,5,FALSE)</f>
        <v>swvl1</v>
      </c>
      <c r="T114" t="str">
        <f>VLOOKUP($V114,naming_lookup!$C$1:$H$40,5,FALSE)</f>
        <v>swvl1</v>
      </c>
      <c r="U114" t="str">
        <f>VLOOKUP($V114,naming_lookup!$C$1:$H$40,6,FALSE)</f>
        <v>percent</v>
      </c>
      <c r="V114" t="s">
        <v>17</v>
      </c>
      <c r="W114" t="s">
        <v>18</v>
      </c>
      <c r="X114" t="s">
        <v>158</v>
      </c>
    </row>
    <row r="115" spans="1:24" x14ac:dyDescent="0.35">
      <c r="A115" s="2" t="s">
        <v>106</v>
      </c>
      <c r="B115" s="1">
        <v>37257</v>
      </c>
      <c r="C115" s="1">
        <v>47484</v>
      </c>
      <c r="D115" t="s">
        <v>220</v>
      </c>
      <c r="E115" t="s">
        <v>220</v>
      </c>
      <c r="F115" t="s">
        <v>13</v>
      </c>
      <c r="G115" t="s">
        <v>174</v>
      </c>
      <c r="H115" t="s">
        <v>97</v>
      </c>
      <c r="I115" t="s">
        <v>11</v>
      </c>
      <c r="J115">
        <v>1</v>
      </c>
      <c r="K115">
        <v>1</v>
      </c>
      <c r="L115">
        <v>1</v>
      </c>
      <c r="M115" t="s">
        <v>15</v>
      </c>
      <c r="N115" t="s">
        <v>16</v>
      </c>
      <c r="O115">
        <f>VLOOKUP($V115,naming_lookup!$C$1:$H$40,3,FALSE)</f>
        <v>-20</v>
      </c>
      <c r="P115">
        <f>VLOOKUP($V115,naming_lookup!$C$1:$H$40,4,FALSE)</f>
        <v>50</v>
      </c>
      <c r="Q115">
        <v>100</v>
      </c>
      <c r="R115" s="2" t="s">
        <v>210</v>
      </c>
      <c r="S115" t="str">
        <f>VLOOKUP($V115,naming_lookup!$C$1:$H$40,5,FALSE)</f>
        <v>stl1</v>
      </c>
      <c r="T115" t="str">
        <f>VLOOKUP($V115,naming_lookup!$C$1:$H$40,5,FALSE)</f>
        <v>stl1</v>
      </c>
      <c r="U115" t="str">
        <f>VLOOKUP($V115,naming_lookup!$C$1:$H$40,6,FALSE)</f>
        <v>degree_C</v>
      </c>
      <c r="V115" t="s">
        <v>12</v>
      </c>
      <c r="W115" t="s">
        <v>13</v>
      </c>
      <c r="X115" t="s">
        <v>174</v>
      </c>
    </row>
    <row r="116" spans="1:24" x14ac:dyDescent="0.35">
      <c r="A116" s="2" t="s">
        <v>106</v>
      </c>
      <c r="B116" s="1">
        <v>37257</v>
      </c>
      <c r="C116" s="1">
        <v>47484</v>
      </c>
      <c r="D116" t="s">
        <v>221</v>
      </c>
      <c r="E116" t="s">
        <v>221</v>
      </c>
      <c r="F116" t="s">
        <v>13</v>
      </c>
      <c r="G116" t="s">
        <v>174</v>
      </c>
      <c r="H116" t="s">
        <v>97</v>
      </c>
      <c r="I116" t="s">
        <v>11</v>
      </c>
      <c r="J116">
        <v>1</v>
      </c>
      <c r="K116">
        <v>1</v>
      </c>
      <c r="L116">
        <v>1</v>
      </c>
      <c r="M116" t="s">
        <v>15</v>
      </c>
      <c r="N116" t="s">
        <v>16</v>
      </c>
      <c r="O116">
        <f>VLOOKUP($V116,naming_lookup!$C$1:$H$40,3,FALSE)</f>
        <v>-20</v>
      </c>
      <c r="P116">
        <f>VLOOKUP($V116,naming_lookup!$C$1:$H$40,4,FALSE)</f>
        <v>50</v>
      </c>
      <c r="Q116">
        <v>100</v>
      </c>
      <c r="R116" s="2" t="s">
        <v>210</v>
      </c>
      <c r="S116" t="str">
        <f>VLOOKUP($V116,naming_lookup!$C$1:$H$40,5,FALSE)</f>
        <v>stl1</v>
      </c>
      <c r="T116" t="str">
        <f>VLOOKUP($V116,naming_lookup!$C$1:$H$40,5,FALSE)</f>
        <v>stl1</v>
      </c>
      <c r="U116" t="str">
        <f>VLOOKUP($V116,naming_lookup!$C$1:$H$40,6,FALSE)</f>
        <v>degree_C</v>
      </c>
      <c r="V116" t="s">
        <v>12</v>
      </c>
      <c r="W116" t="s">
        <v>13</v>
      </c>
      <c r="X116" t="s">
        <v>174</v>
      </c>
    </row>
    <row r="117" spans="1:24" x14ac:dyDescent="0.35">
      <c r="A117" s="2" t="s">
        <v>106</v>
      </c>
      <c r="B117" s="1">
        <v>37257</v>
      </c>
      <c r="C117" s="1">
        <v>47484</v>
      </c>
      <c r="D117" t="s">
        <v>23</v>
      </c>
      <c r="E117" t="s">
        <v>23</v>
      </c>
      <c r="F117" t="s">
        <v>24</v>
      </c>
      <c r="G117" t="s">
        <v>59</v>
      </c>
      <c r="H117" t="s">
        <v>90</v>
      </c>
      <c r="I117" t="s">
        <v>11</v>
      </c>
      <c r="J117">
        <v>1</v>
      </c>
      <c r="K117">
        <v>1</v>
      </c>
      <c r="L117">
        <v>1</v>
      </c>
      <c r="M117" t="s">
        <v>15</v>
      </c>
      <c r="N117" t="s">
        <v>16</v>
      </c>
      <c r="O117">
        <f>VLOOKUP($V117,naming_lookup!$C$1:$H$40,3,FALSE)</f>
        <v>-10</v>
      </c>
      <c r="P117">
        <f>VLOOKUP($V117,naming_lookup!$C$1:$H$40,4,FALSE)</f>
        <v>10</v>
      </c>
      <c r="Q117">
        <v>100</v>
      </c>
      <c r="R117" s="2" t="s">
        <v>210</v>
      </c>
      <c r="S117" t="str">
        <f>VLOOKUP($V117,naming_lookup!$C$1:$H$40,5,FALSE)</f>
        <v>swvl1</v>
      </c>
      <c r="T117" t="str">
        <f>VLOOKUP($V117,naming_lookup!$C$1:$H$40,5,FALSE)</f>
        <v>swvl1</v>
      </c>
      <c r="U117" t="str">
        <f>VLOOKUP($V117,naming_lookup!$C$1:$H$40,6,FALSE)</f>
        <v>m</v>
      </c>
      <c r="V117" t="s">
        <v>23</v>
      </c>
      <c r="W117" t="s">
        <v>24</v>
      </c>
      <c r="X117" t="s">
        <v>59</v>
      </c>
    </row>
    <row r="118" spans="1:24" x14ac:dyDescent="0.35">
      <c r="A118" s="2" t="s">
        <v>105</v>
      </c>
      <c r="B118" s="1">
        <v>45139.541666666664</v>
      </c>
      <c r="C118" s="1">
        <v>45292</v>
      </c>
      <c r="D118" t="s">
        <v>103</v>
      </c>
      <c r="E118" t="s">
        <v>103</v>
      </c>
      <c r="F118" t="s">
        <v>103</v>
      </c>
      <c r="G118" t="s">
        <v>11</v>
      </c>
      <c r="H118" t="s">
        <v>103</v>
      </c>
      <c r="I118" t="s">
        <v>11</v>
      </c>
      <c r="J118" t="s">
        <v>11</v>
      </c>
      <c r="K118" t="s">
        <v>11</v>
      </c>
      <c r="L118" t="s">
        <v>11</v>
      </c>
      <c r="M118" t="s">
        <v>11</v>
      </c>
      <c r="N118" t="s">
        <v>11</v>
      </c>
      <c r="O118" t="e">
        <f>VLOOKUP($V118,naming_lookup!$C$1:$H$40,3,FALSE)</f>
        <v>#N/A</v>
      </c>
      <c r="P118" t="e">
        <f>VLOOKUP($V118,naming_lookup!$C$1:$H$40,4,FALSE)</f>
        <v>#N/A</v>
      </c>
      <c r="Q118" t="s">
        <v>11</v>
      </c>
      <c r="R118" t="s">
        <v>11</v>
      </c>
      <c r="S118" t="str">
        <f>VLOOKUP($V118,naming_lookup!$C$1:$H$40,5,FALSE)</f>
        <v>site</v>
      </c>
      <c r="T118" t="str">
        <f>VLOOKUP($V118,naming_lookup!$C$1:$H$40,5,FALSE)</f>
        <v>site</v>
      </c>
      <c r="U118" t="str">
        <f>VLOOKUP($V118,naming_lookup!$C$1:$H$40,6,FALSE)</f>
        <v>NA</v>
      </c>
      <c r="V118" t="s">
        <v>103</v>
      </c>
      <c r="W118" t="s">
        <v>103</v>
      </c>
      <c r="X118" t="s">
        <v>11</v>
      </c>
    </row>
    <row r="119" spans="1:24" x14ac:dyDescent="0.35">
      <c r="A119" s="2" t="s">
        <v>105</v>
      </c>
      <c r="B119" s="1">
        <v>45139.541666666664</v>
      </c>
      <c r="C119" s="1">
        <v>45292</v>
      </c>
      <c r="D119" s="2" t="s">
        <v>85</v>
      </c>
      <c r="E119" s="2" t="s">
        <v>85</v>
      </c>
      <c r="F119" s="2" t="s">
        <v>86</v>
      </c>
      <c r="G119" t="s">
        <v>11</v>
      </c>
      <c r="H119" t="s">
        <v>91</v>
      </c>
      <c r="I119" s="2" t="s">
        <v>250</v>
      </c>
      <c r="J119" t="s">
        <v>11</v>
      </c>
      <c r="K119" t="s">
        <v>11</v>
      </c>
      <c r="L119" t="s">
        <v>11</v>
      </c>
      <c r="M119" t="s">
        <v>15</v>
      </c>
      <c r="N119" t="s">
        <v>16</v>
      </c>
      <c r="O119" t="e">
        <f>VLOOKUP($V119,naming_lookup!$C$1:$H$40,3,FALSE)</f>
        <v>#N/A</v>
      </c>
      <c r="P119" t="e">
        <f>VLOOKUP($V119,naming_lookup!$C$1:$H$40,4,FALSE)</f>
        <v>#N/A</v>
      </c>
      <c r="Q119" t="s">
        <v>11</v>
      </c>
      <c r="R119" s="2" t="s">
        <v>11</v>
      </c>
      <c r="S119" t="str">
        <f>VLOOKUP($V119,naming_lookup!$C$1:$H$40,5,FALSE)</f>
        <v>time</v>
      </c>
      <c r="T119" t="str">
        <f>VLOOKUP($V119,naming_lookup!$C$1:$H$40,5,FALSE)</f>
        <v>time</v>
      </c>
      <c r="U119" t="str">
        <f>VLOOKUP($V119,naming_lookup!$C$1:$H$40,6,FALSE)</f>
        <v>NA</v>
      </c>
      <c r="V119" t="s">
        <v>85</v>
      </c>
      <c r="W119" s="2" t="s">
        <v>86</v>
      </c>
      <c r="X119" t="s">
        <v>11</v>
      </c>
    </row>
    <row r="120" spans="1:24" x14ac:dyDescent="0.35">
      <c r="A120" s="2" t="s">
        <v>105</v>
      </c>
      <c r="B120" s="1">
        <v>45139.541666666664</v>
      </c>
      <c r="C120" s="1">
        <v>45292</v>
      </c>
      <c r="D120" t="s">
        <v>231</v>
      </c>
      <c r="E120" t="s">
        <v>231</v>
      </c>
      <c r="F120" t="s">
        <v>70</v>
      </c>
      <c r="G120" t="s">
        <v>158</v>
      </c>
      <c r="H120" t="s">
        <v>95</v>
      </c>
      <c r="I120" t="s">
        <v>11</v>
      </c>
      <c r="J120">
        <v>1</v>
      </c>
      <c r="K120">
        <v>1</v>
      </c>
      <c r="L120">
        <v>1</v>
      </c>
      <c r="M120" t="s">
        <v>15</v>
      </c>
      <c r="N120" t="s">
        <v>16</v>
      </c>
      <c r="O120">
        <f>VLOOKUP($V120,naming_lookup!$C$1:$H$40,3,FALSE)</f>
        <v>30</v>
      </c>
      <c r="P120">
        <f>VLOOKUP($V120,naming_lookup!$C$1:$H$40,4,FALSE)</f>
        <v>120</v>
      </c>
      <c r="Q120">
        <v>100</v>
      </c>
      <c r="R120" s="2" t="s">
        <v>210</v>
      </c>
      <c r="S120" t="str">
        <f>VLOOKUP($V120,naming_lookup!$C$1:$H$40,5,FALSE)</f>
        <v>rh</v>
      </c>
      <c r="T120" t="str">
        <f>VLOOKUP($V120,naming_lookup!$C$1:$H$40,5,FALSE)</f>
        <v>rh</v>
      </c>
      <c r="U120" t="str">
        <f>VLOOKUP($V120,naming_lookup!$C$1:$H$40,6,FALSE)</f>
        <v>percent</v>
      </c>
      <c r="V120" t="s">
        <v>69</v>
      </c>
      <c r="W120" t="s">
        <v>70</v>
      </c>
      <c r="X120" t="s">
        <v>158</v>
      </c>
    </row>
    <row r="121" spans="1:24" x14ac:dyDescent="0.35">
      <c r="A121" s="2" t="s">
        <v>105</v>
      </c>
      <c r="B121" s="1">
        <v>45139.541666666664</v>
      </c>
      <c r="C121" s="1">
        <v>45292</v>
      </c>
      <c r="D121" t="s">
        <v>232</v>
      </c>
      <c r="E121" t="s">
        <v>232</v>
      </c>
      <c r="F121" t="s">
        <v>68</v>
      </c>
      <c r="G121" t="s">
        <v>174</v>
      </c>
      <c r="H121" t="s">
        <v>97</v>
      </c>
      <c r="I121" t="s">
        <v>11</v>
      </c>
      <c r="J121">
        <v>1</v>
      </c>
      <c r="K121">
        <v>1</v>
      </c>
      <c r="L121">
        <v>1</v>
      </c>
      <c r="M121" t="s">
        <v>15</v>
      </c>
      <c r="N121" t="s">
        <v>16</v>
      </c>
      <c r="O121">
        <f>VLOOKUP($V121,naming_lookup!$C$1:$H$40,3,FALSE)</f>
        <v>-40</v>
      </c>
      <c r="P121">
        <f>VLOOKUP($V121,naming_lookup!$C$1:$H$40,4,FALSE)</f>
        <v>50</v>
      </c>
      <c r="Q121">
        <v>100</v>
      </c>
      <c r="R121" s="2" t="s">
        <v>210</v>
      </c>
      <c r="S121" t="str">
        <f>VLOOKUP($V121,naming_lookup!$C$1:$H$40,5,FALSE)</f>
        <v>t2m</v>
      </c>
      <c r="T121" t="str">
        <f>VLOOKUP($V121,naming_lookup!$C$1:$H$40,5,FALSE)</f>
        <v>t2m</v>
      </c>
      <c r="U121" t="str">
        <f>VLOOKUP($V121,naming_lookup!$C$1:$H$40,6,FALSE)</f>
        <v>degree_C</v>
      </c>
      <c r="V121" t="s">
        <v>67</v>
      </c>
      <c r="W121" t="s">
        <v>68</v>
      </c>
      <c r="X121" t="s">
        <v>174</v>
      </c>
    </row>
    <row r="122" spans="1:24" x14ac:dyDescent="0.35">
      <c r="A122" s="2" t="s">
        <v>105</v>
      </c>
      <c r="B122" s="1">
        <v>45139.541666666664</v>
      </c>
      <c r="C122" s="1">
        <v>45292</v>
      </c>
      <c r="D122" t="s">
        <v>233</v>
      </c>
      <c r="E122" t="s">
        <v>233</v>
      </c>
      <c r="F122" t="s">
        <v>82</v>
      </c>
      <c r="G122" t="s">
        <v>83</v>
      </c>
      <c r="H122" t="s">
        <v>93</v>
      </c>
      <c r="I122" t="s">
        <v>11</v>
      </c>
      <c r="J122">
        <v>7</v>
      </c>
      <c r="K122">
        <v>1</v>
      </c>
      <c r="L122">
        <v>1</v>
      </c>
      <c r="M122" t="s">
        <v>15</v>
      </c>
      <c r="N122" t="s">
        <v>16</v>
      </c>
      <c r="O122">
        <f>VLOOKUP($V122,naming_lookup!$C$1:$H$40,3,FALSE)</f>
        <v>-99999</v>
      </c>
      <c r="P122">
        <f>VLOOKUP($V122,naming_lookup!$C$1:$H$40,4,FALSE)</f>
        <v>99999</v>
      </c>
      <c r="Q122">
        <v>100</v>
      </c>
      <c r="R122" s="2" t="s">
        <v>210</v>
      </c>
      <c r="S122" t="str">
        <f>VLOOKUP($V122,naming_lookup!$C$1:$H$40,5,FALSE)</f>
        <v>rh</v>
      </c>
      <c r="T122" t="str">
        <f>VLOOKUP($V122,naming_lookup!$C$1:$H$40,5,FALSE)</f>
        <v>rh</v>
      </c>
      <c r="U122">
        <f>VLOOKUP($V122,naming_lookup!$C$1:$H$40,6,FALSE)</f>
        <v>1</v>
      </c>
      <c r="V122" t="s">
        <v>135</v>
      </c>
      <c r="W122" t="s">
        <v>82</v>
      </c>
      <c r="X122" t="s">
        <v>83</v>
      </c>
    </row>
    <row r="123" spans="1:24" x14ac:dyDescent="0.35">
      <c r="A123" s="2" t="s">
        <v>105</v>
      </c>
      <c r="B123" s="1">
        <v>45139.541666666664</v>
      </c>
      <c r="C123" s="1">
        <v>45292</v>
      </c>
      <c r="D123" t="s">
        <v>234</v>
      </c>
      <c r="E123" t="s">
        <v>234</v>
      </c>
      <c r="F123" t="s">
        <v>29</v>
      </c>
      <c r="G123" t="s">
        <v>30</v>
      </c>
      <c r="H123" t="s">
        <v>94</v>
      </c>
      <c r="I123" t="s">
        <v>11</v>
      </c>
      <c r="J123">
        <v>1</v>
      </c>
      <c r="K123">
        <v>1</v>
      </c>
      <c r="L123">
        <v>1</v>
      </c>
      <c r="M123" t="s">
        <v>15</v>
      </c>
      <c r="N123" t="s">
        <v>16</v>
      </c>
      <c r="O123">
        <f>VLOOKUP($V123,naming_lookup!$C$1:$H$40,3,FALSE)</f>
        <v>90</v>
      </c>
      <c r="P123">
        <f>VLOOKUP($V123,naming_lookup!$C$1:$H$40,4,FALSE)</f>
        <v>130</v>
      </c>
      <c r="Q123">
        <v>100</v>
      </c>
      <c r="R123" s="2" t="s">
        <v>210</v>
      </c>
      <c r="S123" t="str">
        <f>VLOOKUP($V123,naming_lookup!$C$1:$H$40,5,FALSE)</f>
        <v>sp</v>
      </c>
      <c r="T123" t="str">
        <f>VLOOKUP($V123,naming_lookup!$C$1:$H$40,5,FALSE)</f>
        <v>sp</v>
      </c>
      <c r="U123" t="str">
        <f>VLOOKUP($V123,naming_lookup!$C$1:$H$40,6,FALSE)</f>
        <v>kPa</v>
      </c>
      <c r="V123" t="s">
        <v>28</v>
      </c>
      <c r="W123" t="s">
        <v>29</v>
      </c>
      <c r="X123" t="s">
        <v>30</v>
      </c>
    </row>
    <row r="124" spans="1:24" x14ac:dyDescent="0.35">
      <c r="A124" s="2" t="s">
        <v>105</v>
      </c>
      <c r="B124" s="1">
        <v>45139.541666666664</v>
      </c>
      <c r="C124" s="1">
        <v>45292</v>
      </c>
      <c r="D124" t="s">
        <v>235</v>
      </c>
      <c r="E124" t="s">
        <v>235</v>
      </c>
      <c r="F124" t="s">
        <v>49</v>
      </c>
      <c r="G124" t="s">
        <v>208</v>
      </c>
      <c r="H124" s="2" t="s">
        <v>101</v>
      </c>
      <c r="I124" t="s">
        <v>11</v>
      </c>
      <c r="J124">
        <v>1</v>
      </c>
      <c r="K124">
        <v>1</v>
      </c>
      <c r="L124">
        <v>1</v>
      </c>
      <c r="M124" t="s">
        <v>15</v>
      </c>
      <c r="N124" t="s">
        <v>16</v>
      </c>
      <c r="O124">
        <f>VLOOKUP($V124,naming_lookup!$C$1:$H$40,3,FALSE)</f>
        <v>0</v>
      </c>
      <c r="P124">
        <f>VLOOKUP($V124,naming_lookup!$C$1:$H$40,4,FALSE)</f>
        <v>50</v>
      </c>
      <c r="Q124">
        <v>100</v>
      </c>
      <c r="R124" s="2" t="s">
        <v>210</v>
      </c>
      <c r="S124" t="str">
        <f>VLOOKUP($V124,naming_lookup!$C$1:$H$40,5,FALSE)</f>
        <v>tp</v>
      </c>
      <c r="T124" t="str">
        <f>VLOOKUP($V124,naming_lookup!$C$1:$H$40,5,FALSE)</f>
        <v>tp</v>
      </c>
      <c r="U124" t="str">
        <f>VLOOKUP($V124,naming_lookup!$C$1:$H$40,6,FALSE)</f>
        <v>mm</v>
      </c>
      <c r="V124" t="s">
        <v>48</v>
      </c>
      <c r="W124" t="s">
        <v>49</v>
      </c>
      <c r="X124" t="s">
        <v>208</v>
      </c>
    </row>
    <row r="125" spans="1:24" x14ac:dyDescent="0.35">
      <c r="A125" s="2" t="s">
        <v>105</v>
      </c>
      <c r="B125" s="1">
        <v>45139.541666666664</v>
      </c>
      <c r="C125" s="1">
        <v>45292</v>
      </c>
      <c r="D125" t="s">
        <v>236</v>
      </c>
      <c r="E125" t="s">
        <v>236</v>
      </c>
      <c r="F125" t="s">
        <v>60</v>
      </c>
      <c r="G125" t="s">
        <v>125</v>
      </c>
      <c r="H125" t="s">
        <v>92</v>
      </c>
      <c r="I125" t="s">
        <v>11</v>
      </c>
      <c r="J125">
        <v>7</v>
      </c>
      <c r="K125">
        <v>1</v>
      </c>
      <c r="L125">
        <v>1</v>
      </c>
      <c r="M125" t="s">
        <v>15</v>
      </c>
      <c r="N125" t="s">
        <v>16</v>
      </c>
      <c r="O125">
        <f>VLOOKUP($V125,naming_lookup!$C$1:$H$40,3,FALSE)</f>
        <v>-500</v>
      </c>
      <c r="P125">
        <f>VLOOKUP($V125,naming_lookup!$C$1:$H$40,4,FALSE)</f>
        <v>1200</v>
      </c>
      <c r="Q125">
        <v>100</v>
      </c>
      <c r="R125" s="2" t="s">
        <v>210</v>
      </c>
      <c r="S125" t="str">
        <f>VLOOKUP($V125,naming_lookup!$C$1:$H$40,5,FALSE)</f>
        <v>rn</v>
      </c>
      <c r="T125" t="str">
        <f>VLOOKUP($V125,naming_lookup!$C$1:$H$40,5,FALSE)</f>
        <v>rn</v>
      </c>
      <c r="U125" t="str">
        <f>VLOOKUP($V125,naming_lookup!$C$1:$H$40,6,FALSE)</f>
        <v>W / m^2</v>
      </c>
      <c r="V125" t="s">
        <v>100</v>
      </c>
      <c r="W125" t="s">
        <v>60</v>
      </c>
      <c r="X125" t="s">
        <v>125</v>
      </c>
    </row>
    <row r="126" spans="1:24" x14ac:dyDescent="0.35">
      <c r="A126" s="2" t="s">
        <v>105</v>
      </c>
      <c r="B126" s="1">
        <v>45139.541666666664</v>
      </c>
      <c r="C126" s="1">
        <v>45292</v>
      </c>
      <c r="D126" t="s">
        <v>237</v>
      </c>
      <c r="E126" t="s">
        <v>237</v>
      </c>
      <c r="F126" s="2" t="s">
        <v>222</v>
      </c>
      <c r="G126" t="s">
        <v>125</v>
      </c>
      <c r="H126" t="s">
        <v>92</v>
      </c>
      <c r="I126" t="s">
        <v>11</v>
      </c>
      <c r="J126">
        <v>1</v>
      </c>
      <c r="K126">
        <v>1</v>
      </c>
      <c r="L126">
        <v>1</v>
      </c>
      <c r="M126" t="s">
        <v>15</v>
      </c>
      <c r="N126" t="s">
        <v>16</v>
      </c>
      <c r="O126">
        <f>VLOOKUP($V126,naming_lookup!$C$1:$H$40,3,FALSE)</f>
        <v>0</v>
      </c>
      <c r="P126">
        <f>VLOOKUP($V126,naming_lookup!$C$1:$H$40,4,FALSE)</f>
        <v>1200</v>
      </c>
      <c r="Q126">
        <v>100</v>
      </c>
      <c r="R126" s="2" t="s">
        <v>210</v>
      </c>
      <c r="S126" t="str">
        <f>VLOOKUP($V126,naming_lookup!$C$1:$H$40,5,FALSE)</f>
        <v>ssrd</v>
      </c>
      <c r="T126" t="str">
        <f>VLOOKUP($V126,naming_lookup!$C$1:$H$40,5,FALSE)</f>
        <v>ssrd</v>
      </c>
      <c r="U126" t="str">
        <f>VLOOKUP($V126,naming_lookup!$C$1:$H$40,6,FALSE)</f>
        <v>W / m^2</v>
      </c>
      <c r="V126" t="s">
        <v>31</v>
      </c>
      <c r="W126" s="2" t="s">
        <v>222</v>
      </c>
      <c r="X126" t="s">
        <v>125</v>
      </c>
    </row>
    <row r="127" spans="1:24" x14ac:dyDescent="0.35">
      <c r="A127" s="2" t="s">
        <v>105</v>
      </c>
      <c r="B127" s="1">
        <v>45139.541666666664</v>
      </c>
      <c r="C127" s="1">
        <v>45292</v>
      </c>
      <c r="D127" t="s">
        <v>238</v>
      </c>
      <c r="E127" t="s">
        <v>238</v>
      </c>
      <c r="F127" t="s">
        <v>41</v>
      </c>
      <c r="G127" t="s">
        <v>138</v>
      </c>
      <c r="H127" t="s">
        <v>92</v>
      </c>
      <c r="I127" t="s">
        <v>11</v>
      </c>
      <c r="J127">
        <v>1</v>
      </c>
      <c r="K127">
        <v>1</v>
      </c>
      <c r="L127">
        <v>1</v>
      </c>
      <c r="M127" t="s">
        <v>15</v>
      </c>
      <c r="N127" t="s">
        <v>16</v>
      </c>
      <c r="O127">
        <f>VLOOKUP($V127,naming_lookup!$C$1:$H$40,3,FALSE)</f>
        <v>0</v>
      </c>
      <c r="P127">
        <f>VLOOKUP($V127,naming_lookup!$C$1:$H$40,4,FALSE)</f>
        <v>2200</v>
      </c>
      <c r="Q127">
        <v>100</v>
      </c>
      <c r="R127" s="2" t="s">
        <v>210</v>
      </c>
      <c r="S127" t="str">
        <f>VLOOKUP($V127,naming_lookup!$C$1:$H$40,5,FALSE)</f>
        <v>ssrd</v>
      </c>
      <c r="T127" t="str">
        <f>VLOOKUP($V127,naming_lookup!$C$1:$H$40,5,FALSE)</f>
        <v>ssrd</v>
      </c>
      <c r="U127" t="str">
        <f>VLOOKUP($V127,naming_lookup!$C$1:$H$40,6,FALSE)</f>
        <v>micromol / m^2 / s</v>
      </c>
      <c r="V127" s="2" t="s">
        <v>40</v>
      </c>
      <c r="W127" t="s">
        <v>41</v>
      </c>
      <c r="X127" t="s">
        <v>138</v>
      </c>
    </row>
    <row r="128" spans="1:24" x14ac:dyDescent="0.35">
      <c r="A128" s="2" t="s">
        <v>105</v>
      </c>
      <c r="B128" s="1">
        <v>45139.541666666664</v>
      </c>
      <c r="C128" s="1">
        <v>45292</v>
      </c>
      <c r="D128" t="s">
        <v>239</v>
      </c>
      <c r="E128" t="s">
        <v>239</v>
      </c>
      <c r="F128" t="s">
        <v>18</v>
      </c>
      <c r="G128" t="s">
        <v>158</v>
      </c>
      <c r="H128" t="s">
        <v>96</v>
      </c>
      <c r="I128" t="s">
        <v>11</v>
      </c>
      <c r="J128">
        <v>5</v>
      </c>
      <c r="K128">
        <v>1</v>
      </c>
      <c r="L128">
        <v>1</v>
      </c>
      <c r="M128" t="s">
        <v>15</v>
      </c>
      <c r="N128" t="s">
        <v>16</v>
      </c>
      <c r="O128">
        <f>VLOOKUP($V128,naming_lookup!$C$1:$H$40,3,FALSE)</f>
        <v>0</v>
      </c>
      <c r="P128">
        <f>VLOOKUP($V128,naming_lookup!$C$1:$H$40,4,FALSE)</f>
        <v>100</v>
      </c>
      <c r="Q128">
        <v>100</v>
      </c>
      <c r="R128" s="2" t="s">
        <v>210</v>
      </c>
      <c r="S128" t="str">
        <f>VLOOKUP($V128,naming_lookup!$C$1:$H$40,5,FALSE)</f>
        <v>swvl1</v>
      </c>
      <c r="T128" t="str">
        <f>VLOOKUP($V128,naming_lookup!$C$1:$H$40,5,FALSE)</f>
        <v>swvl1</v>
      </c>
      <c r="U128" t="str">
        <f>VLOOKUP($V128,naming_lookup!$C$1:$H$40,6,FALSE)</f>
        <v>percent</v>
      </c>
      <c r="V128" t="s">
        <v>17</v>
      </c>
      <c r="W128" t="s">
        <v>18</v>
      </c>
      <c r="X128" t="s">
        <v>158</v>
      </c>
    </row>
    <row r="129" spans="1:24" x14ac:dyDescent="0.35">
      <c r="A129" s="2" t="s">
        <v>105</v>
      </c>
      <c r="B129" s="1">
        <v>45139.541666666664</v>
      </c>
      <c r="C129" s="1">
        <v>45292</v>
      </c>
      <c r="D129" t="s">
        <v>240</v>
      </c>
      <c r="E129" t="s">
        <v>240</v>
      </c>
      <c r="F129" t="s">
        <v>18</v>
      </c>
      <c r="G129" t="s">
        <v>158</v>
      </c>
      <c r="H129" t="s">
        <v>96</v>
      </c>
      <c r="I129" t="s">
        <v>11</v>
      </c>
      <c r="J129">
        <v>5</v>
      </c>
      <c r="K129">
        <v>2</v>
      </c>
      <c r="L129">
        <v>1</v>
      </c>
      <c r="M129" t="s">
        <v>15</v>
      </c>
      <c r="N129" t="s">
        <v>16</v>
      </c>
      <c r="O129">
        <f>VLOOKUP($V129,naming_lookup!$C$1:$H$40,3,FALSE)</f>
        <v>0</v>
      </c>
      <c r="P129">
        <f>VLOOKUP($V129,naming_lookup!$C$1:$H$40,4,FALSE)</f>
        <v>100</v>
      </c>
      <c r="Q129">
        <v>100</v>
      </c>
      <c r="R129" s="2" t="s">
        <v>210</v>
      </c>
      <c r="S129" t="str">
        <f>VLOOKUP($V129,naming_lookup!$C$1:$H$40,5,FALSE)</f>
        <v>swvl1</v>
      </c>
      <c r="T129" t="str">
        <f>VLOOKUP($V129,naming_lookup!$C$1:$H$40,5,FALSE)</f>
        <v>swvl1</v>
      </c>
      <c r="U129" t="str">
        <f>VLOOKUP($V129,naming_lookup!$C$1:$H$40,6,FALSE)</f>
        <v>percent</v>
      </c>
      <c r="V129" t="s">
        <v>17</v>
      </c>
      <c r="W129" t="s">
        <v>18</v>
      </c>
      <c r="X129" t="s">
        <v>158</v>
      </c>
    </row>
    <row r="130" spans="1:24" x14ac:dyDescent="0.35">
      <c r="A130" s="2" t="s">
        <v>105</v>
      </c>
      <c r="B130" s="1">
        <v>45139.541666666664</v>
      </c>
      <c r="C130" s="1">
        <v>45292</v>
      </c>
      <c r="D130" t="s">
        <v>241</v>
      </c>
      <c r="E130" t="s">
        <v>241</v>
      </c>
      <c r="F130" t="s">
        <v>18</v>
      </c>
      <c r="G130" t="s">
        <v>158</v>
      </c>
      <c r="H130" t="s">
        <v>96</v>
      </c>
      <c r="I130" t="s">
        <v>11</v>
      </c>
      <c r="J130">
        <v>5</v>
      </c>
      <c r="K130">
        <v>3</v>
      </c>
      <c r="L130">
        <v>1</v>
      </c>
      <c r="M130" t="s">
        <v>15</v>
      </c>
      <c r="N130" t="s">
        <v>16</v>
      </c>
      <c r="O130">
        <f>VLOOKUP($V130,naming_lookup!$C$1:$H$40,3,FALSE)</f>
        <v>0</v>
      </c>
      <c r="P130">
        <f>VLOOKUP($V130,naming_lookup!$C$1:$H$40,4,FALSE)</f>
        <v>100</v>
      </c>
      <c r="Q130">
        <v>100</v>
      </c>
      <c r="R130" s="2" t="s">
        <v>210</v>
      </c>
      <c r="S130" t="str">
        <f>VLOOKUP($V130,naming_lookup!$C$1:$H$40,5,FALSE)</f>
        <v>swvl1</v>
      </c>
      <c r="T130" t="str">
        <f>VLOOKUP($V130,naming_lookup!$C$1:$H$40,5,FALSE)</f>
        <v>swvl1</v>
      </c>
      <c r="U130" t="str">
        <f>VLOOKUP($V130,naming_lookup!$C$1:$H$40,6,FALSE)</f>
        <v>percent</v>
      </c>
      <c r="V130" t="s">
        <v>17</v>
      </c>
      <c r="W130" t="s">
        <v>18</v>
      </c>
      <c r="X130" t="s">
        <v>158</v>
      </c>
    </row>
    <row r="131" spans="1:24" x14ac:dyDescent="0.35">
      <c r="A131" s="2" t="s">
        <v>105</v>
      </c>
      <c r="B131" s="1">
        <v>45139.541666666664</v>
      </c>
      <c r="C131" s="1">
        <v>45292</v>
      </c>
      <c r="D131" t="s">
        <v>242</v>
      </c>
      <c r="E131" t="s">
        <v>242</v>
      </c>
      <c r="F131" t="s">
        <v>18</v>
      </c>
      <c r="G131" t="s">
        <v>158</v>
      </c>
      <c r="H131" t="s">
        <v>96</v>
      </c>
      <c r="I131" t="s">
        <v>11</v>
      </c>
      <c r="J131">
        <v>5</v>
      </c>
      <c r="K131">
        <v>4</v>
      </c>
      <c r="L131">
        <v>1</v>
      </c>
      <c r="M131" t="s">
        <v>15</v>
      </c>
      <c r="N131" t="s">
        <v>16</v>
      </c>
      <c r="O131">
        <f>VLOOKUP($V131,naming_lookup!$C$1:$H$40,3,FALSE)</f>
        <v>0</v>
      </c>
      <c r="P131">
        <f>VLOOKUP($V131,naming_lookup!$C$1:$H$40,4,FALSE)</f>
        <v>100</v>
      </c>
      <c r="Q131">
        <v>100</v>
      </c>
      <c r="R131" s="2" t="s">
        <v>210</v>
      </c>
      <c r="S131" t="str">
        <f>VLOOKUP($V131,naming_lookup!$C$1:$H$40,5,FALSE)</f>
        <v>swvl1</v>
      </c>
      <c r="T131" t="str">
        <f>VLOOKUP($V131,naming_lookup!$C$1:$H$40,5,FALSE)</f>
        <v>swvl1</v>
      </c>
      <c r="U131" t="str">
        <f>VLOOKUP($V131,naming_lookup!$C$1:$H$40,6,FALSE)</f>
        <v>percent</v>
      </c>
      <c r="V131" t="s">
        <v>17</v>
      </c>
      <c r="W131" t="s">
        <v>18</v>
      </c>
      <c r="X131" t="s">
        <v>158</v>
      </c>
    </row>
    <row r="132" spans="1:24" x14ac:dyDescent="0.35">
      <c r="A132" s="2" t="s">
        <v>105</v>
      </c>
      <c r="B132" s="1">
        <v>45139.541666666664</v>
      </c>
      <c r="C132" s="1">
        <v>45292</v>
      </c>
      <c r="D132" t="s">
        <v>243</v>
      </c>
      <c r="E132" t="s">
        <v>243</v>
      </c>
      <c r="F132" t="s">
        <v>13</v>
      </c>
      <c r="G132" t="s">
        <v>174</v>
      </c>
      <c r="H132" t="s">
        <v>97</v>
      </c>
      <c r="I132" t="s">
        <v>11</v>
      </c>
      <c r="J132">
        <v>5</v>
      </c>
      <c r="K132">
        <v>1</v>
      </c>
      <c r="L132">
        <v>1</v>
      </c>
      <c r="M132" t="s">
        <v>15</v>
      </c>
      <c r="N132" t="s">
        <v>16</v>
      </c>
      <c r="O132">
        <f>VLOOKUP($V132,naming_lookup!$C$1:$H$40,3,FALSE)</f>
        <v>-20</v>
      </c>
      <c r="P132">
        <f>VLOOKUP($V132,naming_lookup!$C$1:$H$40,4,FALSE)</f>
        <v>50</v>
      </c>
      <c r="Q132">
        <v>100</v>
      </c>
      <c r="R132" s="2" t="s">
        <v>210</v>
      </c>
      <c r="S132" t="str">
        <f>VLOOKUP($V132,naming_lookup!$C$1:$H$40,5,FALSE)</f>
        <v>stl1</v>
      </c>
      <c r="T132" t="str">
        <f>VLOOKUP($V132,naming_lookup!$C$1:$H$40,5,FALSE)</f>
        <v>stl1</v>
      </c>
      <c r="U132" t="str">
        <f>VLOOKUP($V132,naming_lookup!$C$1:$H$40,6,FALSE)</f>
        <v>degree_C</v>
      </c>
      <c r="V132" t="s">
        <v>12</v>
      </c>
      <c r="W132" t="s">
        <v>13</v>
      </c>
      <c r="X132" t="s">
        <v>174</v>
      </c>
    </row>
    <row r="133" spans="1:24" x14ac:dyDescent="0.35">
      <c r="A133" s="2" t="s">
        <v>105</v>
      </c>
      <c r="B133" s="1">
        <v>45139.541666666664</v>
      </c>
      <c r="C133" s="1">
        <v>45292</v>
      </c>
      <c r="D133" t="s">
        <v>244</v>
      </c>
      <c r="E133" t="s">
        <v>244</v>
      </c>
      <c r="F133" t="s">
        <v>13</v>
      </c>
      <c r="G133" t="s">
        <v>174</v>
      </c>
      <c r="H133" t="s">
        <v>97</v>
      </c>
      <c r="I133" t="s">
        <v>11</v>
      </c>
      <c r="J133">
        <v>5</v>
      </c>
      <c r="K133">
        <v>2</v>
      </c>
      <c r="L133">
        <v>1</v>
      </c>
      <c r="M133" t="s">
        <v>15</v>
      </c>
      <c r="N133" t="s">
        <v>16</v>
      </c>
      <c r="O133">
        <f>VLOOKUP($V133,naming_lookup!$C$1:$H$40,3,FALSE)</f>
        <v>-20</v>
      </c>
      <c r="P133">
        <f>VLOOKUP($V133,naming_lookup!$C$1:$H$40,4,FALSE)</f>
        <v>50</v>
      </c>
      <c r="Q133">
        <v>100</v>
      </c>
      <c r="R133" s="2" t="s">
        <v>210</v>
      </c>
      <c r="S133" t="str">
        <f>VLOOKUP($V133,naming_lookup!$C$1:$H$40,5,FALSE)</f>
        <v>stl1</v>
      </c>
      <c r="T133" t="str">
        <f>VLOOKUP($V133,naming_lookup!$C$1:$H$40,5,FALSE)</f>
        <v>stl1</v>
      </c>
      <c r="U133" t="str">
        <f>VLOOKUP($V133,naming_lookup!$C$1:$H$40,6,FALSE)</f>
        <v>degree_C</v>
      </c>
      <c r="V133" t="s">
        <v>12</v>
      </c>
      <c r="W133" t="s">
        <v>13</v>
      </c>
      <c r="X133" t="s">
        <v>174</v>
      </c>
    </row>
    <row r="134" spans="1:24" x14ac:dyDescent="0.35">
      <c r="A134" s="2" t="s">
        <v>105</v>
      </c>
      <c r="B134" s="1">
        <v>45139.541666666664</v>
      </c>
      <c r="C134" s="1">
        <v>45292</v>
      </c>
      <c r="D134" t="s">
        <v>245</v>
      </c>
      <c r="E134" t="s">
        <v>245</v>
      </c>
      <c r="F134" t="s">
        <v>13</v>
      </c>
      <c r="G134" t="s">
        <v>174</v>
      </c>
      <c r="H134" t="s">
        <v>97</v>
      </c>
      <c r="I134" t="s">
        <v>11</v>
      </c>
      <c r="J134">
        <v>5</v>
      </c>
      <c r="K134">
        <v>3</v>
      </c>
      <c r="L134">
        <v>1</v>
      </c>
      <c r="M134" t="s">
        <v>15</v>
      </c>
      <c r="N134" t="s">
        <v>16</v>
      </c>
      <c r="O134">
        <f>VLOOKUP($V134,naming_lookup!$C$1:$H$40,3,FALSE)</f>
        <v>-20</v>
      </c>
      <c r="P134">
        <f>VLOOKUP($V134,naming_lookup!$C$1:$H$40,4,FALSE)</f>
        <v>50</v>
      </c>
      <c r="Q134">
        <v>100</v>
      </c>
      <c r="R134" s="2" t="s">
        <v>210</v>
      </c>
      <c r="S134" t="str">
        <f>VLOOKUP($V134,naming_lookup!$C$1:$H$40,5,FALSE)</f>
        <v>stl1</v>
      </c>
      <c r="T134" t="str">
        <f>VLOOKUP($V134,naming_lookup!$C$1:$H$40,5,FALSE)</f>
        <v>stl1</v>
      </c>
      <c r="U134" t="str">
        <f>VLOOKUP($V134,naming_lookup!$C$1:$H$40,6,FALSE)</f>
        <v>degree_C</v>
      </c>
      <c r="V134" t="s">
        <v>12</v>
      </c>
      <c r="W134" t="s">
        <v>13</v>
      </c>
      <c r="X134" t="s">
        <v>174</v>
      </c>
    </row>
    <row r="135" spans="1:24" x14ac:dyDescent="0.35">
      <c r="A135" s="2" t="s">
        <v>105</v>
      </c>
      <c r="B135" s="1">
        <v>45139.541666666664</v>
      </c>
      <c r="C135" s="1">
        <v>45292</v>
      </c>
      <c r="D135" t="s">
        <v>246</v>
      </c>
      <c r="E135" t="s">
        <v>246</v>
      </c>
      <c r="F135" t="s">
        <v>13</v>
      </c>
      <c r="G135" t="s">
        <v>174</v>
      </c>
      <c r="H135" t="s">
        <v>97</v>
      </c>
      <c r="I135" t="s">
        <v>11</v>
      </c>
      <c r="J135">
        <v>5</v>
      </c>
      <c r="K135">
        <v>4</v>
      </c>
      <c r="L135">
        <v>1</v>
      </c>
      <c r="M135" t="s">
        <v>15</v>
      </c>
      <c r="N135" t="s">
        <v>16</v>
      </c>
      <c r="O135">
        <f>VLOOKUP($V135,naming_lookup!$C$1:$H$40,3,FALSE)</f>
        <v>-20</v>
      </c>
      <c r="P135">
        <f>VLOOKUP($V135,naming_lookup!$C$1:$H$40,4,FALSE)</f>
        <v>50</v>
      </c>
      <c r="Q135">
        <v>100</v>
      </c>
      <c r="R135" s="2" t="s">
        <v>210</v>
      </c>
      <c r="S135" t="str">
        <f>VLOOKUP($V135,naming_lookup!$C$1:$H$40,5,FALSE)</f>
        <v>stl1</v>
      </c>
      <c r="T135" t="str">
        <f>VLOOKUP($V135,naming_lookup!$C$1:$H$40,5,FALSE)</f>
        <v>stl1</v>
      </c>
      <c r="U135" t="str">
        <f>VLOOKUP($V135,naming_lookup!$C$1:$H$40,6,FALSE)</f>
        <v>degree_C</v>
      </c>
      <c r="V135" t="s">
        <v>12</v>
      </c>
      <c r="W135" t="s">
        <v>13</v>
      </c>
      <c r="X135" t="s">
        <v>174</v>
      </c>
    </row>
    <row r="136" spans="1:24" x14ac:dyDescent="0.35">
      <c r="A136" s="2" t="s">
        <v>105</v>
      </c>
      <c r="B136" s="1">
        <v>45139.541666666664</v>
      </c>
      <c r="C136" s="1">
        <v>45292</v>
      </c>
      <c r="D136" t="s">
        <v>247</v>
      </c>
      <c r="E136" t="s">
        <v>247</v>
      </c>
      <c r="F136" t="s">
        <v>21</v>
      </c>
      <c r="G136" t="s">
        <v>22</v>
      </c>
      <c r="H136" t="s">
        <v>92</v>
      </c>
      <c r="I136" t="s">
        <v>11</v>
      </c>
      <c r="J136">
        <v>5</v>
      </c>
      <c r="K136">
        <v>1</v>
      </c>
      <c r="L136">
        <v>1</v>
      </c>
      <c r="M136" t="s">
        <v>15</v>
      </c>
      <c r="N136" t="s">
        <v>16</v>
      </c>
      <c r="O136">
        <f>VLOOKUP($V136,naming_lookup!$C$1:$H$40,3,FALSE)</f>
        <v>-30</v>
      </c>
      <c r="P136">
        <f>VLOOKUP($V136,naming_lookup!$C$1:$H$40,4,FALSE)</f>
        <v>30</v>
      </c>
      <c r="Q136">
        <v>100</v>
      </c>
      <c r="R136" s="2" t="s">
        <v>210</v>
      </c>
      <c r="S136" t="str">
        <f>VLOOKUP($V136,naming_lookup!$C$1:$H$40,5,FALSE)</f>
        <v>ssrd</v>
      </c>
      <c r="T136" t="str">
        <f>VLOOKUP($V136,naming_lookup!$C$1:$H$40,5,FALSE)</f>
        <v>ssrd</v>
      </c>
      <c r="U136" t="str">
        <f>VLOOKUP($V136,naming_lookup!$C$1:$H$40,6,FALSE)</f>
        <v>W / m^2</v>
      </c>
      <c r="V136" t="s">
        <v>20</v>
      </c>
      <c r="W136" t="s">
        <v>21</v>
      </c>
      <c r="X136" t="s">
        <v>22</v>
      </c>
    </row>
    <row r="137" spans="1:24" x14ac:dyDescent="0.35">
      <c r="A137" s="2" t="s">
        <v>105</v>
      </c>
      <c r="B137" s="1">
        <v>45139.541666666664</v>
      </c>
      <c r="C137" s="1">
        <v>45292</v>
      </c>
      <c r="D137" t="s">
        <v>248</v>
      </c>
      <c r="E137" t="s">
        <v>248</v>
      </c>
      <c r="F137" t="s">
        <v>21</v>
      </c>
      <c r="G137" t="s">
        <v>22</v>
      </c>
      <c r="H137" t="s">
        <v>92</v>
      </c>
      <c r="I137" t="s">
        <v>11</v>
      </c>
      <c r="J137">
        <v>5</v>
      </c>
      <c r="K137">
        <v>2</v>
      </c>
      <c r="L137">
        <v>1</v>
      </c>
      <c r="M137" t="s">
        <v>15</v>
      </c>
      <c r="N137" t="s">
        <v>16</v>
      </c>
      <c r="O137">
        <f>VLOOKUP($V137,naming_lookup!$C$1:$H$40,3,FALSE)</f>
        <v>-30</v>
      </c>
      <c r="P137">
        <f>VLOOKUP($V137,naming_lookup!$C$1:$H$40,4,FALSE)</f>
        <v>30</v>
      </c>
      <c r="Q137">
        <v>100</v>
      </c>
      <c r="R137" s="2" t="s">
        <v>210</v>
      </c>
      <c r="S137" t="str">
        <f>VLOOKUP($V137,naming_lookup!$C$1:$H$40,5,FALSE)</f>
        <v>ssrd</v>
      </c>
      <c r="T137" t="str">
        <f>VLOOKUP($V137,naming_lookup!$C$1:$H$40,5,FALSE)</f>
        <v>ssrd</v>
      </c>
      <c r="U137" t="str">
        <f>VLOOKUP($V137,naming_lookup!$C$1:$H$40,6,FALSE)</f>
        <v>W / m^2</v>
      </c>
      <c r="V137" t="s">
        <v>20</v>
      </c>
      <c r="W137" t="s">
        <v>21</v>
      </c>
      <c r="X137" t="s">
        <v>22</v>
      </c>
    </row>
    <row r="138" spans="1:24" x14ac:dyDescent="0.35">
      <c r="A138" s="2" t="s">
        <v>105</v>
      </c>
      <c r="B138" s="1">
        <v>45139.541666666664</v>
      </c>
      <c r="C138" s="1">
        <v>45292</v>
      </c>
      <c r="D138" t="s">
        <v>249</v>
      </c>
      <c r="E138" t="s">
        <v>249</v>
      </c>
      <c r="F138" t="s">
        <v>24</v>
      </c>
      <c r="G138" t="s">
        <v>59</v>
      </c>
      <c r="H138" t="s">
        <v>90</v>
      </c>
      <c r="I138" t="s">
        <v>11</v>
      </c>
      <c r="J138">
        <v>5</v>
      </c>
      <c r="K138">
        <v>1</v>
      </c>
      <c r="L138">
        <v>1</v>
      </c>
      <c r="M138" t="s">
        <v>15</v>
      </c>
      <c r="N138" t="s">
        <v>16</v>
      </c>
      <c r="O138">
        <f>VLOOKUP($V138,naming_lookup!$C$1:$H$40,3,FALSE)</f>
        <v>-10</v>
      </c>
      <c r="P138">
        <f>VLOOKUP($V138,naming_lookup!$C$1:$H$40,4,FALSE)</f>
        <v>10</v>
      </c>
      <c r="Q138">
        <v>100</v>
      </c>
      <c r="R138" s="2" t="s">
        <v>210</v>
      </c>
      <c r="S138" t="str">
        <f>VLOOKUP($V138,naming_lookup!$C$1:$H$40,5,FALSE)</f>
        <v>swvl1</v>
      </c>
      <c r="T138" t="str">
        <f>VLOOKUP($V138,naming_lookup!$C$1:$H$40,5,FALSE)</f>
        <v>swvl1</v>
      </c>
      <c r="U138" t="str">
        <f>VLOOKUP($V138,naming_lookup!$C$1:$H$40,6,FALSE)</f>
        <v>m</v>
      </c>
      <c r="V138" t="s">
        <v>23</v>
      </c>
      <c r="W138" t="s">
        <v>24</v>
      </c>
      <c r="X138" t="s">
        <v>59</v>
      </c>
    </row>
    <row r="139" spans="1:24" x14ac:dyDescent="0.35">
      <c r="A139" s="2"/>
      <c r="B139" s="1"/>
      <c r="C139" s="1"/>
    </row>
  </sheetData>
  <sortState xmlns:xlrd2="http://schemas.microsoft.com/office/spreadsheetml/2017/richdata2" ref="E3:N53">
    <sortCondition ref="E3:E53"/>
  </sortState>
  <phoneticPr fontId="18" type="noConversion"/>
  <pageMargins left="0.7" right="0.7" top="0.75" bottom="0.75" header="0.3" footer="0.3"/>
  <pageSetup paperSize="9" orientation="portrait" horizontalDpi="120" verticalDpi="7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9616-2603-4811-AA75-C70B902F2583}">
  <dimension ref="A1:H40"/>
  <sheetViews>
    <sheetView workbookViewId="0">
      <pane ySplit="1" topLeftCell="A17" activePane="bottomLeft" state="frozen"/>
      <selection pane="bottomLeft" activeCell="C35" sqref="C35:C38"/>
    </sheetView>
  </sheetViews>
  <sheetFormatPr defaultRowHeight="14.5" x14ac:dyDescent="0.35"/>
  <cols>
    <col min="1" max="1" width="43.36328125" customWidth="1"/>
    <col min="2" max="2" width="17.90625" bestFit="1" customWidth="1"/>
    <col min="3" max="3" width="12.08984375" customWidth="1"/>
    <col min="4" max="4" width="11.453125" bestFit="1" customWidth="1"/>
    <col min="7" max="7" width="10" bestFit="1" customWidth="1"/>
    <col min="8" max="8" width="15.90625" bestFit="1" customWidth="1"/>
  </cols>
  <sheetData>
    <row r="1" spans="1:8" x14ac:dyDescent="0.35">
      <c r="A1" s="2" t="s">
        <v>185</v>
      </c>
      <c r="B1" s="4" t="s">
        <v>225</v>
      </c>
      <c r="C1" s="2" t="s">
        <v>226</v>
      </c>
      <c r="D1" s="2" t="s">
        <v>111</v>
      </c>
      <c r="E1" t="s">
        <v>108</v>
      </c>
      <c r="F1" t="s">
        <v>109</v>
      </c>
      <c r="G1" t="s">
        <v>227</v>
      </c>
      <c r="H1" s="2" t="s">
        <v>115</v>
      </c>
    </row>
    <row r="2" spans="1:8" x14ac:dyDescent="0.35">
      <c r="A2" t="s">
        <v>186</v>
      </c>
      <c r="B2" t="s">
        <v>12</v>
      </c>
      <c r="C2" t="s">
        <v>12</v>
      </c>
      <c r="D2" t="s">
        <v>174</v>
      </c>
      <c r="E2">
        <f>VLOOKUP($C2,dt_var_naming!$A$2:$F$27,5,FALSE)</f>
        <v>-20</v>
      </c>
      <c r="F2">
        <f>VLOOKUP($C2,dt_var_naming!$A$2:$F$27,6,FALSE)</f>
        <v>50</v>
      </c>
      <c r="G2" s="2" t="s">
        <v>179</v>
      </c>
      <c r="H2" t="s">
        <v>174</v>
      </c>
    </row>
    <row r="3" spans="1:8" x14ac:dyDescent="0.35">
      <c r="A3" t="s">
        <v>103</v>
      </c>
      <c r="B3" t="s">
        <v>103</v>
      </c>
      <c r="C3" t="s">
        <v>103</v>
      </c>
      <c r="D3" t="s">
        <v>11</v>
      </c>
      <c r="E3" t="e">
        <f>VLOOKUP($C3,dt_var_naming!$A$2:$F$27,5,FALSE)</f>
        <v>#N/A</v>
      </c>
      <c r="F3" t="e">
        <f>VLOOKUP($C3,dt_var_naming!$A$2:$F$27,6,FALSE)</f>
        <v>#N/A</v>
      </c>
      <c r="G3" t="s">
        <v>103</v>
      </c>
      <c r="H3" t="s">
        <v>11</v>
      </c>
    </row>
    <row r="4" spans="1:8" x14ac:dyDescent="0.35">
      <c r="A4" t="s">
        <v>205</v>
      </c>
      <c r="B4" t="s">
        <v>10</v>
      </c>
      <c r="C4" s="2" t="s">
        <v>85</v>
      </c>
      <c r="D4" t="s">
        <v>11</v>
      </c>
      <c r="E4" t="e">
        <f>VLOOKUP($C4,dt_var_naming!$A$2:$F$27,5,FALSE)</f>
        <v>#N/A</v>
      </c>
      <c r="F4" t="e">
        <f>VLOOKUP($C4,dt_var_naming!$A$2:$F$27,6,FALSE)</f>
        <v>#N/A</v>
      </c>
      <c r="G4" s="2" t="s">
        <v>91</v>
      </c>
      <c r="H4" t="s">
        <v>11</v>
      </c>
    </row>
    <row r="5" spans="1:8" x14ac:dyDescent="0.35">
      <c r="A5" t="s">
        <v>18</v>
      </c>
      <c r="B5" t="s">
        <v>17</v>
      </c>
      <c r="C5" t="s">
        <v>17</v>
      </c>
      <c r="D5" t="s">
        <v>158</v>
      </c>
      <c r="E5">
        <f>VLOOKUP($C5,dt_var_naming!$A$2:$F$27,5,FALSE)</f>
        <v>0</v>
      </c>
      <c r="F5">
        <f>VLOOKUP($C5,dt_var_naming!$A$2:$F$27,6,FALSE)</f>
        <v>100</v>
      </c>
      <c r="G5" t="s">
        <v>171</v>
      </c>
      <c r="H5" t="s">
        <v>158</v>
      </c>
    </row>
    <row r="6" spans="1:8" x14ac:dyDescent="0.35">
      <c r="A6" t="s">
        <v>21</v>
      </c>
      <c r="B6" t="s">
        <v>20</v>
      </c>
      <c r="C6" t="s">
        <v>20</v>
      </c>
      <c r="D6" s="2" t="s">
        <v>125</v>
      </c>
      <c r="E6">
        <f>VLOOKUP($C6,dt_var_naming!$A$2:$F$27,5,FALSE)</f>
        <v>-30</v>
      </c>
      <c r="F6">
        <f>VLOOKUP($C6,dt_var_naming!$A$2:$F$27,6,FALSE)</f>
        <v>30</v>
      </c>
      <c r="G6" s="2" t="s">
        <v>156</v>
      </c>
      <c r="H6" s="2" t="s">
        <v>125</v>
      </c>
    </row>
    <row r="7" spans="1:8" x14ac:dyDescent="0.35">
      <c r="A7" t="s">
        <v>24</v>
      </c>
      <c r="B7" t="s">
        <v>23</v>
      </c>
      <c r="C7" t="s">
        <v>23</v>
      </c>
      <c r="D7" t="s">
        <v>25</v>
      </c>
      <c r="E7">
        <f>VLOOKUP($C7,dt_var_naming!$A$2:$F$27,5,FALSE)</f>
        <v>-10</v>
      </c>
      <c r="F7">
        <f>VLOOKUP($C7,dt_var_naming!$A$2:$F$27,6,FALSE)</f>
        <v>10</v>
      </c>
      <c r="G7" t="s">
        <v>171</v>
      </c>
      <c r="H7" t="s">
        <v>25</v>
      </c>
    </row>
    <row r="8" spans="1:8" x14ac:dyDescent="0.35">
      <c r="A8" t="s">
        <v>24</v>
      </c>
      <c r="B8" t="s">
        <v>26</v>
      </c>
      <c r="C8" t="s">
        <v>23</v>
      </c>
      <c r="D8" t="s">
        <v>25</v>
      </c>
      <c r="E8">
        <f>VLOOKUP($C8,dt_var_naming!$A$2:$F$27,5,FALSE)</f>
        <v>-10</v>
      </c>
      <c r="F8">
        <f>VLOOKUP($C8,dt_var_naming!$A$2:$F$27,6,FALSE)</f>
        <v>10</v>
      </c>
      <c r="G8" t="s">
        <v>171</v>
      </c>
      <c r="H8" t="s">
        <v>25</v>
      </c>
    </row>
    <row r="9" spans="1:8" x14ac:dyDescent="0.35">
      <c r="A9" t="s">
        <v>187</v>
      </c>
      <c r="B9" t="s">
        <v>27</v>
      </c>
      <c r="C9" s="2" t="s">
        <v>28</v>
      </c>
      <c r="D9" t="s">
        <v>30</v>
      </c>
      <c r="E9">
        <f>VLOOKUP($C9,dt_var_naming!$A$2:$F$27,5,FALSE)</f>
        <v>90</v>
      </c>
      <c r="F9">
        <f>VLOOKUP($C9,dt_var_naming!$A$2:$F$27,6,FALSE)</f>
        <v>130</v>
      </c>
      <c r="G9" t="s">
        <v>145</v>
      </c>
      <c r="H9" t="s">
        <v>30</v>
      </c>
    </row>
    <row r="10" spans="1:8" x14ac:dyDescent="0.35">
      <c r="A10" t="s">
        <v>32</v>
      </c>
      <c r="B10" t="s">
        <v>31</v>
      </c>
      <c r="C10" t="s">
        <v>31</v>
      </c>
      <c r="D10" s="2" t="s">
        <v>125</v>
      </c>
      <c r="E10">
        <f>VLOOKUP($C10,dt_var_naming!$A$2:$F$27,5,FALSE)</f>
        <v>0</v>
      </c>
      <c r="F10">
        <f>VLOOKUP($C10,dt_var_naming!$A$2:$F$27,6,FALSE)</f>
        <v>1200</v>
      </c>
      <c r="G10" t="s">
        <v>156</v>
      </c>
      <c r="H10" s="2" t="s">
        <v>125</v>
      </c>
    </row>
    <row r="11" spans="1:8" x14ac:dyDescent="0.35">
      <c r="A11" s="2" t="s">
        <v>34</v>
      </c>
      <c r="B11" t="s">
        <v>33</v>
      </c>
      <c r="C11" t="s">
        <v>33</v>
      </c>
      <c r="D11" s="2" t="s">
        <v>125</v>
      </c>
      <c r="E11">
        <f>VLOOKUP($C11,dt_var_naming!$A$2:$F$27,5,FALSE)</f>
        <v>0</v>
      </c>
      <c r="F11">
        <f>VLOOKUP($C11,dt_var_naming!$A$2:$F$27,6,FALSE)</f>
        <v>300</v>
      </c>
      <c r="G11" t="s">
        <v>188</v>
      </c>
      <c r="H11" s="2" t="s">
        <v>125</v>
      </c>
    </row>
    <row r="12" spans="1:8" x14ac:dyDescent="0.35">
      <c r="A12" s="2" t="s">
        <v>36</v>
      </c>
      <c r="B12" t="s">
        <v>35</v>
      </c>
      <c r="C12" t="s">
        <v>35</v>
      </c>
      <c r="D12" s="2" t="s">
        <v>125</v>
      </c>
      <c r="E12">
        <f>VLOOKUP($C12,dt_var_naming!$A$2:$F$27,5,FALSE)</f>
        <v>0</v>
      </c>
      <c r="F12">
        <f>VLOOKUP($C12,dt_var_naming!$A$2:$F$27,6,FALSE)</f>
        <v>1200</v>
      </c>
      <c r="G12" t="s">
        <v>129</v>
      </c>
      <c r="H12" s="2" t="s">
        <v>125</v>
      </c>
    </row>
    <row r="13" spans="1:8" x14ac:dyDescent="0.35">
      <c r="A13" s="2" t="s">
        <v>38</v>
      </c>
      <c r="B13" t="s">
        <v>37</v>
      </c>
      <c r="C13" t="s">
        <v>37</v>
      </c>
      <c r="D13" s="2" t="s">
        <v>125</v>
      </c>
      <c r="E13">
        <f>VLOOKUP($C13,dt_var_naming!$A$2:$F$27,5,FALSE)</f>
        <v>0</v>
      </c>
      <c r="F13">
        <f>VLOOKUP($C13,dt_var_naming!$A$2:$F$27,6,FALSE)</f>
        <v>1000</v>
      </c>
      <c r="G13" t="s">
        <v>189</v>
      </c>
      <c r="H13" s="2" t="s">
        <v>125</v>
      </c>
    </row>
    <row r="14" spans="1:8" x14ac:dyDescent="0.35">
      <c r="A14" t="s">
        <v>41</v>
      </c>
      <c r="B14" t="s">
        <v>39</v>
      </c>
      <c r="C14" t="s">
        <v>40</v>
      </c>
      <c r="D14" s="2" t="s">
        <v>206</v>
      </c>
      <c r="E14">
        <f>VLOOKUP($C14,dt_var_naming!$A$2:$F$27,5,FALSE)</f>
        <v>0</v>
      </c>
      <c r="F14">
        <f>VLOOKUP($C14,dt_var_naming!$A$2:$F$27,6,FALSE)</f>
        <v>2200</v>
      </c>
      <c r="G14" t="s">
        <v>156</v>
      </c>
      <c r="H14" s="2" t="s">
        <v>138</v>
      </c>
    </row>
    <row r="15" spans="1:8" x14ac:dyDescent="0.35">
      <c r="A15" s="2" t="s">
        <v>44</v>
      </c>
      <c r="B15" t="s">
        <v>43</v>
      </c>
      <c r="C15" t="s">
        <v>43</v>
      </c>
      <c r="D15" s="2" t="s">
        <v>138</v>
      </c>
      <c r="E15">
        <f>VLOOKUP($C15,dt_var_naming!$A$2:$F$27,5,FALSE)</f>
        <v>0</v>
      </c>
      <c r="F15">
        <f>VLOOKUP($C15,dt_var_naming!$A$2:$F$27,6,FALSE)</f>
        <v>2200</v>
      </c>
      <c r="G15" t="s">
        <v>188</v>
      </c>
      <c r="H15" s="2" t="s">
        <v>138</v>
      </c>
    </row>
    <row r="16" spans="1:8" x14ac:dyDescent="0.35">
      <c r="A16" s="2" t="s">
        <v>46</v>
      </c>
      <c r="B16" t="s">
        <v>45</v>
      </c>
      <c r="C16" t="s">
        <v>45</v>
      </c>
      <c r="D16" s="2" t="s">
        <v>138</v>
      </c>
      <c r="E16">
        <f>VLOOKUP($C16,dt_var_naming!$A$2:$F$27,5,FALSE)</f>
        <v>0</v>
      </c>
      <c r="F16">
        <f>VLOOKUP($C16,dt_var_naming!$A$2:$F$27,6,FALSE)</f>
        <v>2200</v>
      </c>
      <c r="G16" t="s">
        <v>190</v>
      </c>
      <c r="H16" s="2" t="s">
        <v>138</v>
      </c>
    </row>
    <row r="17" spans="1:8" x14ac:dyDescent="0.35">
      <c r="A17" t="s">
        <v>49</v>
      </c>
      <c r="B17" t="s">
        <v>47</v>
      </c>
      <c r="C17" t="s">
        <v>48</v>
      </c>
      <c r="D17" s="2" t="s">
        <v>208</v>
      </c>
      <c r="E17">
        <f>VLOOKUP($C17,dt_var_naming!$A$2:$F$27,5,FALSE)</f>
        <v>0</v>
      </c>
      <c r="F17">
        <f>VLOOKUP($C17,dt_var_naming!$A$2:$F$27,6,FALSE)</f>
        <v>50</v>
      </c>
      <c r="G17" t="s">
        <v>143</v>
      </c>
      <c r="H17" s="2" t="s">
        <v>208</v>
      </c>
    </row>
    <row r="18" spans="1:8" x14ac:dyDescent="0.35">
      <c r="A18" s="4" t="s">
        <v>52</v>
      </c>
      <c r="B18" t="s">
        <v>192</v>
      </c>
      <c r="C18" t="s">
        <v>51</v>
      </c>
      <c r="D18" s="2" t="s">
        <v>207</v>
      </c>
      <c r="E18">
        <f>VLOOKUP($C18,dt_var_naming!$A$2:$F$27,5,FALSE)</f>
        <v>0</v>
      </c>
      <c r="F18">
        <f>VLOOKUP($C18,dt_var_naming!$A$2:$F$27,6,FALSE)</f>
        <v>30</v>
      </c>
      <c r="G18" t="s">
        <v>191</v>
      </c>
      <c r="H18" s="2" t="s">
        <v>207</v>
      </c>
    </row>
    <row r="19" spans="1:8" x14ac:dyDescent="0.35">
      <c r="A19" s="4" t="s">
        <v>55</v>
      </c>
      <c r="B19" t="s">
        <v>194</v>
      </c>
      <c r="C19" t="s">
        <v>54</v>
      </c>
      <c r="D19" t="s">
        <v>181</v>
      </c>
      <c r="E19">
        <f>VLOOKUP($C19,dt_var_naming!$A$2:$F$27,5,FALSE)</f>
        <v>0</v>
      </c>
      <c r="F19">
        <f>VLOOKUP($C19,dt_var_naming!$A$2:$F$27,6,FALSE)</f>
        <v>360</v>
      </c>
      <c r="G19" t="s">
        <v>193</v>
      </c>
      <c r="H19" t="s">
        <v>181</v>
      </c>
    </row>
    <row r="20" spans="1:8" x14ac:dyDescent="0.35">
      <c r="A20" t="s">
        <v>58</v>
      </c>
      <c r="B20" t="s">
        <v>57</v>
      </c>
      <c r="C20" t="s">
        <v>57</v>
      </c>
      <c r="D20" t="s">
        <v>59</v>
      </c>
      <c r="E20">
        <f>VLOOKUP($C20,dt_var_naming!$A$2:$F$27,5,FALSE)</f>
        <v>0</v>
      </c>
      <c r="F20">
        <f>VLOOKUP($C20,dt_var_naming!$A$2:$F$27,6,FALSE)</f>
        <v>100</v>
      </c>
      <c r="G20" t="s">
        <v>118</v>
      </c>
      <c r="H20" t="s">
        <v>59</v>
      </c>
    </row>
    <row r="21" spans="1:8" x14ac:dyDescent="0.35">
      <c r="A21" t="s">
        <v>60</v>
      </c>
      <c r="B21" t="s">
        <v>196</v>
      </c>
      <c r="C21" t="s">
        <v>100</v>
      </c>
      <c r="D21" s="2" t="s">
        <v>125</v>
      </c>
      <c r="E21">
        <f>VLOOKUP($C21,dt_var_naming!$A$2:$F$27,5,FALSE)</f>
        <v>-500</v>
      </c>
      <c r="F21">
        <f>VLOOKUP($C21,dt_var_naming!$A$2:$F$27,6,FALSE)</f>
        <v>1200</v>
      </c>
      <c r="G21" t="s">
        <v>195</v>
      </c>
      <c r="H21" s="2" t="s">
        <v>125</v>
      </c>
    </row>
    <row r="22" spans="1:8" x14ac:dyDescent="0.35">
      <c r="A22" t="s">
        <v>186</v>
      </c>
      <c r="B22" t="s">
        <v>61</v>
      </c>
      <c r="C22" t="s">
        <v>12</v>
      </c>
      <c r="D22" t="s">
        <v>174</v>
      </c>
      <c r="E22">
        <f>VLOOKUP($C22,dt_var_naming!$A$2:$F$27,5,FALSE)</f>
        <v>-20</v>
      </c>
      <c r="F22">
        <f>VLOOKUP($C22,dt_var_naming!$A$2:$F$27,6,FALSE)</f>
        <v>50</v>
      </c>
      <c r="G22" s="2" t="s">
        <v>179</v>
      </c>
      <c r="H22" t="s">
        <v>174</v>
      </c>
    </row>
    <row r="23" spans="1:8" x14ac:dyDescent="0.35">
      <c r="A23" t="s">
        <v>186</v>
      </c>
      <c r="B23" t="s">
        <v>62</v>
      </c>
      <c r="C23" t="s">
        <v>12</v>
      </c>
      <c r="D23" t="s">
        <v>174</v>
      </c>
      <c r="E23">
        <f>VLOOKUP($C23,dt_var_naming!$A$2:$F$27,5,FALSE)</f>
        <v>-20</v>
      </c>
      <c r="F23">
        <f>VLOOKUP($C23,dt_var_naming!$A$2:$F$27,6,FALSE)</f>
        <v>50</v>
      </c>
      <c r="G23" s="2" t="s">
        <v>179</v>
      </c>
      <c r="H23" t="s">
        <v>174</v>
      </c>
    </row>
    <row r="24" spans="1:8" x14ac:dyDescent="0.35">
      <c r="A24" t="s">
        <v>186</v>
      </c>
      <c r="B24" t="s">
        <v>63</v>
      </c>
      <c r="C24" t="s">
        <v>12</v>
      </c>
      <c r="D24" t="s">
        <v>174</v>
      </c>
      <c r="E24">
        <f>VLOOKUP($C24,dt_var_naming!$A$2:$F$27,5,FALSE)</f>
        <v>-20</v>
      </c>
      <c r="F24">
        <f>VLOOKUP($C24,dt_var_naming!$A$2:$F$27,6,FALSE)</f>
        <v>50</v>
      </c>
      <c r="G24" s="2" t="s">
        <v>179</v>
      </c>
      <c r="H24" t="s">
        <v>174</v>
      </c>
    </row>
    <row r="25" spans="1:8" x14ac:dyDescent="0.35">
      <c r="A25" t="s">
        <v>186</v>
      </c>
      <c r="B25" t="s">
        <v>64</v>
      </c>
      <c r="C25" t="s">
        <v>12</v>
      </c>
      <c r="D25" t="s">
        <v>174</v>
      </c>
      <c r="E25">
        <f>VLOOKUP($C25,dt_var_naming!$A$2:$F$27,5,FALSE)</f>
        <v>-20</v>
      </c>
      <c r="F25">
        <f>VLOOKUP($C25,dt_var_naming!$A$2:$F$27,6,FALSE)</f>
        <v>50</v>
      </c>
      <c r="G25" s="2" t="s">
        <v>179</v>
      </c>
      <c r="H25" t="s">
        <v>174</v>
      </c>
    </row>
    <row r="26" spans="1:8" x14ac:dyDescent="0.35">
      <c r="A26" t="s">
        <v>18</v>
      </c>
      <c r="B26" t="s">
        <v>197</v>
      </c>
      <c r="C26" t="s">
        <v>17</v>
      </c>
      <c r="D26" t="s">
        <v>158</v>
      </c>
      <c r="E26">
        <f>VLOOKUP($C26,dt_var_naming!$A$2:$F$27,5,FALSE)</f>
        <v>0</v>
      </c>
      <c r="F26">
        <f>VLOOKUP($C26,dt_var_naming!$A$2:$F$27,6,FALSE)</f>
        <v>100</v>
      </c>
      <c r="G26" t="s">
        <v>171</v>
      </c>
      <c r="H26" t="s">
        <v>158</v>
      </c>
    </row>
    <row r="27" spans="1:8" x14ac:dyDescent="0.35">
      <c r="A27" t="s">
        <v>18</v>
      </c>
      <c r="B27" t="s">
        <v>198</v>
      </c>
      <c r="C27" t="s">
        <v>17</v>
      </c>
      <c r="D27" t="s">
        <v>158</v>
      </c>
      <c r="E27">
        <f>VLOOKUP($C27,dt_var_naming!$A$2:$F$27,5,FALSE)</f>
        <v>0</v>
      </c>
      <c r="F27">
        <f>VLOOKUP($C27,dt_var_naming!$A$2:$F$27,6,FALSE)</f>
        <v>100</v>
      </c>
      <c r="G27" t="s">
        <v>171</v>
      </c>
      <c r="H27" t="s">
        <v>158</v>
      </c>
    </row>
    <row r="28" spans="1:8" x14ac:dyDescent="0.35">
      <c r="A28" t="s">
        <v>18</v>
      </c>
      <c r="B28" t="s">
        <v>199</v>
      </c>
      <c r="C28" t="s">
        <v>17</v>
      </c>
      <c r="D28" t="s">
        <v>158</v>
      </c>
      <c r="E28">
        <f>VLOOKUP($C28,dt_var_naming!$A$2:$F$27,5,FALSE)</f>
        <v>0</v>
      </c>
      <c r="F28">
        <f>VLOOKUP($C28,dt_var_naming!$A$2:$F$27,6,FALSE)</f>
        <v>100</v>
      </c>
      <c r="G28" t="s">
        <v>171</v>
      </c>
      <c r="H28" t="s">
        <v>158</v>
      </c>
    </row>
    <row r="29" spans="1:8" x14ac:dyDescent="0.35">
      <c r="A29" t="s">
        <v>18</v>
      </c>
      <c r="B29" t="s">
        <v>200</v>
      </c>
      <c r="C29" t="s">
        <v>17</v>
      </c>
      <c r="D29" t="s">
        <v>158</v>
      </c>
      <c r="E29">
        <f>VLOOKUP($C29,dt_var_naming!$A$2:$F$27,5,FALSE)</f>
        <v>0</v>
      </c>
      <c r="F29">
        <f>VLOOKUP($C29,dt_var_naming!$A$2:$F$27,6,FALSE)</f>
        <v>100</v>
      </c>
      <c r="G29" t="s">
        <v>171</v>
      </c>
      <c r="H29" t="s">
        <v>158</v>
      </c>
    </row>
    <row r="30" spans="1:8" x14ac:dyDescent="0.35">
      <c r="A30" t="s">
        <v>21</v>
      </c>
      <c r="B30" t="s">
        <v>65</v>
      </c>
      <c r="C30" t="s">
        <v>20</v>
      </c>
      <c r="D30" s="2" t="s">
        <v>125</v>
      </c>
      <c r="E30">
        <f>VLOOKUP($C30,dt_var_naming!$A$2:$F$27,5,FALSE)</f>
        <v>-30</v>
      </c>
      <c r="F30">
        <f>VLOOKUP($C30,dt_var_naming!$A$2:$F$27,6,FALSE)</f>
        <v>30</v>
      </c>
      <c r="G30" s="2" t="s">
        <v>156</v>
      </c>
      <c r="H30" s="2" t="s">
        <v>125</v>
      </c>
    </row>
    <row r="31" spans="1:8" x14ac:dyDescent="0.35">
      <c r="A31" t="s">
        <v>21</v>
      </c>
      <c r="B31" t="s">
        <v>66</v>
      </c>
      <c r="C31" t="s">
        <v>20</v>
      </c>
      <c r="D31" s="2" t="s">
        <v>125</v>
      </c>
      <c r="E31">
        <f>VLOOKUP($C31,dt_var_naming!$A$2:$F$27,5,FALSE)</f>
        <v>-30</v>
      </c>
      <c r="F31">
        <f>VLOOKUP($C31,dt_var_naming!$A$2:$F$27,6,FALSE)</f>
        <v>30</v>
      </c>
      <c r="G31" s="2" t="s">
        <v>156</v>
      </c>
      <c r="H31" s="2" t="s">
        <v>125</v>
      </c>
    </row>
    <row r="32" spans="1:8" x14ac:dyDescent="0.35">
      <c r="A32" t="s">
        <v>68</v>
      </c>
      <c r="B32" t="s">
        <v>202</v>
      </c>
      <c r="C32" t="s">
        <v>67</v>
      </c>
      <c r="D32" t="s">
        <v>174</v>
      </c>
      <c r="E32">
        <f>VLOOKUP($C32,dt_var_naming!$A$2:$F$27,5,FALSE)</f>
        <v>-40</v>
      </c>
      <c r="F32">
        <f>VLOOKUP($C32,dt_var_naming!$A$2:$F$27,6,FALSE)</f>
        <v>50</v>
      </c>
      <c r="G32" t="s">
        <v>201</v>
      </c>
      <c r="H32" t="s">
        <v>174</v>
      </c>
    </row>
    <row r="33" spans="1:8" x14ac:dyDescent="0.35">
      <c r="A33" t="s">
        <v>203</v>
      </c>
      <c r="B33" t="s">
        <v>204</v>
      </c>
      <c r="C33" t="s">
        <v>69</v>
      </c>
      <c r="D33" t="s">
        <v>158</v>
      </c>
      <c r="E33">
        <f>VLOOKUP($C33,dt_var_naming!$A$2:$F$27,5,FALSE)</f>
        <v>30</v>
      </c>
      <c r="F33">
        <f>VLOOKUP($C33,dt_var_naming!$A$2:$F$27,6,FALSE)</f>
        <v>120</v>
      </c>
      <c r="G33" t="s">
        <v>159</v>
      </c>
      <c r="H33" t="s">
        <v>158</v>
      </c>
    </row>
    <row r="34" spans="1:8" x14ac:dyDescent="0.35">
      <c r="A34" t="s">
        <v>72</v>
      </c>
      <c r="B34" t="s">
        <v>71</v>
      </c>
      <c r="C34" t="s">
        <v>107</v>
      </c>
      <c r="D34" s="2" t="s">
        <v>125</v>
      </c>
      <c r="E34">
        <f>VLOOKUP($C34,dt_var_naming!$A$2:$F$27,5,FALSE)</f>
        <v>0</v>
      </c>
      <c r="F34">
        <f>VLOOKUP($C34,dt_var_naming!$A$2:$F$27,6,FALSE)</f>
        <v>1200</v>
      </c>
      <c r="G34" s="2" t="s">
        <v>156</v>
      </c>
      <c r="H34" s="2" t="s">
        <v>125</v>
      </c>
    </row>
    <row r="35" spans="1:8" x14ac:dyDescent="0.35">
      <c r="A35" s="2" t="s">
        <v>74</v>
      </c>
      <c r="B35" t="s">
        <v>73</v>
      </c>
      <c r="C35" t="s">
        <v>137</v>
      </c>
      <c r="D35" s="2" t="s">
        <v>138</v>
      </c>
      <c r="E35">
        <f>VLOOKUP($C35,dt_var_naming!$A$2:$F$27,5,FALSE)</f>
        <v>0</v>
      </c>
      <c r="F35">
        <f>VLOOKUP($C35,dt_var_naming!$A$2:$F$27,6,FALSE)</f>
        <v>500</v>
      </c>
      <c r="G35" t="s">
        <v>156</v>
      </c>
      <c r="H35" s="2" t="s">
        <v>138</v>
      </c>
    </row>
    <row r="36" spans="1:8" x14ac:dyDescent="0.35">
      <c r="A36" s="2" t="s">
        <v>76</v>
      </c>
      <c r="B36" t="s">
        <v>75</v>
      </c>
      <c r="C36" t="s">
        <v>140</v>
      </c>
      <c r="D36" s="2" t="s">
        <v>138</v>
      </c>
      <c r="E36">
        <f>VLOOKUP($C36,dt_var_naming!$A$2:$F$27,5,FALSE)</f>
        <v>0</v>
      </c>
      <c r="F36">
        <f>VLOOKUP($C36,dt_var_naming!$A$2:$F$27,6,FALSE)</f>
        <v>500</v>
      </c>
      <c r="G36" t="s">
        <v>188</v>
      </c>
      <c r="H36" s="2" t="s">
        <v>138</v>
      </c>
    </row>
    <row r="37" spans="1:8" x14ac:dyDescent="0.35">
      <c r="A37" s="2" t="s">
        <v>78</v>
      </c>
      <c r="B37" t="s">
        <v>77</v>
      </c>
      <c r="C37" t="s">
        <v>141</v>
      </c>
      <c r="D37" s="2" t="s">
        <v>138</v>
      </c>
      <c r="E37">
        <f>VLOOKUP($C37,dt_var_naming!$A$2:$F$27,5,FALSE)</f>
        <v>0</v>
      </c>
      <c r="F37">
        <f>VLOOKUP($C37,dt_var_naming!$A$2:$F$27,6,FALSE)</f>
        <v>500</v>
      </c>
      <c r="G37" t="s">
        <v>156</v>
      </c>
      <c r="H37" s="2" t="s">
        <v>138</v>
      </c>
    </row>
    <row r="38" spans="1:8" x14ac:dyDescent="0.35">
      <c r="A38" s="2" t="s">
        <v>80</v>
      </c>
      <c r="B38" t="s">
        <v>79</v>
      </c>
      <c r="C38" t="s">
        <v>142</v>
      </c>
      <c r="D38" s="2" t="s">
        <v>138</v>
      </c>
      <c r="E38">
        <f>VLOOKUP($C38,dt_var_naming!$A$2:$F$27,5,FALSE)</f>
        <v>0</v>
      </c>
      <c r="F38">
        <f>VLOOKUP($C38,dt_var_naming!$A$2:$F$27,6,FALSE)</f>
        <v>500</v>
      </c>
      <c r="G38" t="s">
        <v>188</v>
      </c>
      <c r="H38" s="2" t="s">
        <v>138</v>
      </c>
    </row>
    <row r="39" spans="1:8" x14ac:dyDescent="0.35">
      <c r="A39" s="4" t="s">
        <v>82</v>
      </c>
      <c r="B39" t="s">
        <v>81</v>
      </c>
      <c r="C39" s="4" t="s">
        <v>135</v>
      </c>
      <c r="D39">
        <v>1</v>
      </c>
      <c r="E39">
        <f>VLOOKUP($C39,dt_var_naming!$A$2:$F$27,5,FALSE)</f>
        <v>-99999</v>
      </c>
      <c r="F39">
        <f>VLOOKUP($C39,dt_var_naming!$A$2:$F$27,6,FALSE)</f>
        <v>99999</v>
      </c>
      <c r="G39" t="s">
        <v>159</v>
      </c>
      <c r="H39">
        <v>1</v>
      </c>
    </row>
    <row r="40" spans="1:8" x14ac:dyDescent="0.35">
      <c r="A40" s="4" t="s">
        <v>82</v>
      </c>
      <c r="B40" t="s">
        <v>84</v>
      </c>
      <c r="C40" s="4" t="s">
        <v>135</v>
      </c>
      <c r="D40">
        <v>1</v>
      </c>
      <c r="E40">
        <f>VLOOKUP($C40,dt_var_naming!$A$2:$F$27,5,FALSE)</f>
        <v>-99999</v>
      </c>
      <c r="F40">
        <f>VLOOKUP($C40,dt_var_naming!$A$2:$F$27,6,FALSE)</f>
        <v>99999</v>
      </c>
      <c r="G40" t="s">
        <v>159</v>
      </c>
      <c r="H4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6FF77-C883-40C9-8616-F79923CDA0A3}">
  <dimension ref="A1:O27"/>
  <sheetViews>
    <sheetView workbookViewId="0">
      <selection activeCell="O1" sqref="O1"/>
    </sheetView>
  </sheetViews>
  <sheetFormatPr defaultRowHeight="16" customHeight="1" x14ac:dyDescent="0.35"/>
  <cols>
    <col min="1" max="1" width="13.54296875" bestFit="1" customWidth="1"/>
    <col min="5" max="5" width="9.36328125" bestFit="1" customWidth="1"/>
    <col min="6" max="6" width="9.6328125" bestFit="1" customWidth="1"/>
    <col min="13" max="13" width="18.08984375" bestFit="1" customWidth="1"/>
  </cols>
  <sheetData>
    <row r="1" spans="1:15" ht="16" customHeight="1" x14ac:dyDescent="0.35">
      <c r="A1" t="s">
        <v>225</v>
      </c>
      <c r="B1" s="2" t="s">
        <v>229</v>
      </c>
      <c r="C1" t="s">
        <v>1</v>
      </c>
      <c r="D1" t="s">
        <v>89</v>
      </c>
      <c r="E1" t="s">
        <v>108</v>
      </c>
      <c r="F1" t="s">
        <v>109</v>
      </c>
      <c r="G1" t="s">
        <v>226</v>
      </c>
      <c r="H1" t="s">
        <v>110</v>
      </c>
      <c r="I1" t="s">
        <v>111</v>
      </c>
      <c r="J1" t="s">
        <v>228</v>
      </c>
      <c r="K1" t="s">
        <v>112</v>
      </c>
      <c r="L1" t="s">
        <v>113</v>
      </c>
      <c r="M1" t="s">
        <v>227</v>
      </c>
      <c r="N1" t="s">
        <v>114</v>
      </c>
      <c r="O1" t="s">
        <v>115</v>
      </c>
    </row>
    <row r="2" spans="1:15" ht="16" customHeight="1" x14ac:dyDescent="0.35">
      <c r="A2" t="s">
        <v>57</v>
      </c>
      <c r="B2" t="s">
        <v>58</v>
      </c>
      <c r="C2" t="s">
        <v>25</v>
      </c>
      <c r="D2" t="s">
        <v>90</v>
      </c>
      <c r="E2">
        <v>0</v>
      </c>
      <c r="F2">
        <v>100</v>
      </c>
      <c r="G2" t="s">
        <v>57</v>
      </c>
      <c r="H2" t="s">
        <v>58</v>
      </c>
      <c r="I2" t="s">
        <v>59</v>
      </c>
      <c r="J2" t="s">
        <v>116</v>
      </c>
      <c r="K2" t="s">
        <v>117</v>
      </c>
      <c r="L2" t="s">
        <v>25</v>
      </c>
      <c r="M2">
        <f>VLOOKUP(A2,naming_lookup!$C$1:$G$40,3,FALSE)</f>
        <v>0</v>
      </c>
      <c r="N2" s="3" t="s">
        <v>119</v>
      </c>
      <c r="O2" t="s">
        <v>120</v>
      </c>
    </row>
    <row r="3" spans="1:15" ht="16" customHeight="1" x14ac:dyDescent="0.35">
      <c r="A3" t="s">
        <v>10</v>
      </c>
      <c r="B3" t="s">
        <v>121</v>
      </c>
      <c r="C3" t="s">
        <v>11</v>
      </c>
      <c r="D3" t="s">
        <v>91</v>
      </c>
      <c r="G3" t="s">
        <v>85</v>
      </c>
      <c r="H3" t="s">
        <v>121</v>
      </c>
      <c r="J3" t="s">
        <v>86</v>
      </c>
      <c r="K3" t="s">
        <v>121</v>
      </c>
      <c r="L3" t="s">
        <v>11</v>
      </c>
      <c r="M3" t="e">
        <f>VLOOKUP(A3,naming_lookup!$C$1:$G$40,3,FALSE)</f>
        <v>#N/A</v>
      </c>
      <c r="N3" t="s">
        <v>121</v>
      </c>
      <c r="O3" t="s">
        <v>11</v>
      </c>
    </row>
    <row r="4" spans="1:15" ht="16" customHeight="1" x14ac:dyDescent="0.35">
      <c r="A4" t="s">
        <v>20</v>
      </c>
      <c r="B4" t="s">
        <v>21</v>
      </c>
      <c r="C4" t="s">
        <v>122</v>
      </c>
      <c r="D4" t="s">
        <v>92</v>
      </c>
      <c r="E4">
        <v>-30</v>
      </c>
      <c r="F4">
        <v>30</v>
      </c>
      <c r="G4" t="s">
        <v>20</v>
      </c>
      <c r="H4" t="s">
        <v>21</v>
      </c>
      <c r="I4" t="s">
        <v>22</v>
      </c>
      <c r="J4" t="s">
        <v>123</v>
      </c>
      <c r="K4" t="s">
        <v>124</v>
      </c>
      <c r="L4" t="s">
        <v>22</v>
      </c>
      <c r="M4">
        <f>VLOOKUP(A4,naming_lookup!$C$1:$G$40,3,FALSE)</f>
        <v>-30</v>
      </c>
    </row>
    <row r="5" spans="1:15" ht="16" customHeight="1" x14ac:dyDescent="0.35">
      <c r="A5" t="s">
        <v>35</v>
      </c>
      <c r="B5" t="s">
        <v>36</v>
      </c>
      <c r="C5" t="s">
        <v>125</v>
      </c>
      <c r="D5" t="s">
        <v>92</v>
      </c>
      <c r="E5">
        <v>0</v>
      </c>
      <c r="F5">
        <v>1200</v>
      </c>
      <c r="G5" t="s">
        <v>35</v>
      </c>
      <c r="H5" t="s">
        <v>126</v>
      </c>
      <c r="I5" t="s">
        <v>22</v>
      </c>
      <c r="J5" t="s">
        <v>127</v>
      </c>
      <c r="K5" t="s">
        <v>128</v>
      </c>
      <c r="L5" t="s">
        <v>22</v>
      </c>
      <c r="M5">
        <f>VLOOKUP(A5,naming_lookup!$C$1:$G$40,3,FALSE)</f>
        <v>0</v>
      </c>
      <c r="N5" s="3" t="s">
        <v>130</v>
      </c>
      <c r="O5" t="s">
        <v>131</v>
      </c>
    </row>
    <row r="6" spans="1:15" ht="16" customHeight="1" x14ac:dyDescent="0.35">
      <c r="A6" t="s">
        <v>37</v>
      </c>
      <c r="B6" t="s">
        <v>38</v>
      </c>
      <c r="C6" t="s">
        <v>125</v>
      </c>
      <c r="D6" t="s">
        <v>92</v>
      </c>
      <c r="E6">
        <v>0</v>
      </c>
      <c r="F6">
        <v>1000</v>
      </c>
      <c r="G6" t="s">
        <v>37</v>
      </c>
      <c r="H6" t="s">
        <v>132</v>
      </c>
      <c r="I6" t="s">
        <v>22</v>
      </c>
      <c r="J6" t="s">
        <v>133</v>
      </c>
      <c r="K6" t="s">
        <v>134</v>
      </c>
      <c r="L6" t="s">
        <v>22</v>
      </c>
      <c r="M6">
        <f>VLOOKUP(A6,naming_lookup!$C$1:$G$40,3,FALSE)</f>
        <v>0</v>
      </c>
    </row>
    <row r="7" spans="1:15" ht="16" customHeight="1" x14ac:dyDescent="0.35">
      <c r="A7" t="s">
        <v>135</v>
      </c>
      <c r="B7" t="s">
        <v>82</v>
      </c>
      <c r="C7" t="s">
        <v>83</v>
      </c>
      <c r="D7" t="s">
        <v>93</v>
      </c>
      <c r="E7">
        <v>-99999</v>
      </c>
      <c r="F7">
        <v>99999</v>
      </c>
      <c r="H7" t="s">
        <v>136</v>
      </c>
      <c r="I7" t="s">
        <v>83</v>
      </c>
      <c r="M7">
        <f>VLOOKUP(A7,naming_lookup!$C$1:$G$40,3,FALSE)</f>
        <v>-99999</v>
      </c>
    </row>
    <row r="8" spans="1:15" ht="16" customHeight="1" x14ac:dyDescent="0.35">
      <c r="A8" t="s">
        <v>137</v>
      </c>
      <c r="B8" t="s">
        <v>74</v>
      </c>
      <c r="C8" t="s">
        <v>138</v>
      </c>
      <c r="D8" t="s">
        <v>92</v>
      </c>
      <c r="E8">
        <v>0</v>
      </c>
      <c r="F8">
        <v>500</v>
      </c>
      <c r="H8" t="s">
        <v>139</v>
      </c>
      <c r="I8" t="s">
        <v>42</v>
      </c>
      <c r="M8">
        <f>VLOOKUP(A8,naming_lookup!$C$1:$G$40,3,FALSE)</f>
        <v>0</v>
      </c>
    </row>
    <row r="9" spans="1:15" ht="16" customHeight="1" x14ac:dyDescent="0.35">
      <c r="A9" t="s">
        <v>140</v>
      </c>
      <c r="B9" t="s">
        <v>76</v>
      </c>
      <c r="C9" t="s">
        <v>138</v>
      </c>
      <c r="D9" t="s">
        <v>92</v>
      </c>
      <c r="E9">
        <v>0</v>
      </c>
      <c r="F9">
        <v>500</v>
      </c>
      <c r="H9" t="s">
        <v>139</v>
      </c>
      <c r="I9" t="s">
        <v>42</v>
      </c>
      <c r="M9">
        <f>VLOOKUP(A9,naming_lookup!$C$1:$G$40,3,FALSE)</f>
        <v>0</v>
      </c>
    </row>
    <row r="10" spans="1:15" ht="16" customHeight="1" x14ac:dyDescent="0.35">
      <c r="A10" t="s">
        <v>141</v>
      </c>
      <c r="B10" t="s">
        <v>78</v>
      </c>
      <c r="C10" t="s">
        <v>138</v>
      </c>
      <c r="D10" t="s">
        <v>92</v>
      </c>
      <c r="E10">
        <v>0</v>
      </c>
      <c r="F10">
        <v>500</v>
      </c>
      <c r="H10" t="s">
        <v>139</v>
      </c>
      <c r="I10" t="s">
        <v>42</v>
      </c>
      <c r="M10">
        <f>VLOOKUP(A10,naming_lookup!$C$1:$G$40,3,FALSE)</f>
        <v>0</v>
      </c>
    </row>
    <row r="11" spans="1:15" ht="16" customHeight="1" x14ac:dyDescent="0.35">
      <c r="A11" t="s">
        <v>142</v>
      </c>
      <c r="B11" t="s">
        <v>80</v>
      </c>
      <c r="C11" t="s">
        <v>138</v>
      </c>
      <c r="D11" t="s">
        <v>92</v>
      </c>
      <c r="E11">
        <v>0</v>
      </c>
      <c r="F11">
        <v>500</v>
      </c>
      <c r="H11" t="s">
        <v>139</v>
      </c>
      <c r="I11" t="s">
        <v>42</v>
      </c>
      <c r="M11">
        <f>VLOOKUP(A11,naming_lookup!$C$1:$G$40,3,FALSE)</f>
        <v>0</v>
      </c>
    </row>
    <row r="12" spans="1:15" ht="16" customHeight="1" x14ac:dyDescent="0.35">
      <c r="A12" t="s">
        <v>48</v>
      </c>
      <c r="B12" t="s">
        <v>49</v>
      </c>
      <c r="C12" t="s">
        <v>25</v>
      </c>
      <c r="D12" t="s">
        <v>90</v>
      </c>
      <c r="E12">
        <v>0</v>
      </c>
      <c r="F12">
        <v>50</v>
      </c>
      <c r="G12" t="s">
        <v>48</v>
      </c>
      <c r="H12" t="s">
        <v>49</v>
      </c>
      <c r="I12" t="s">
        <v>50</v>
      </c>
      <c r="M12">
        <f>VLOOKUP(A12,naming_lookup!$C$1:$G$40,3,FALSE)</f>
        <v>0</v>
      </c>
      <c r="N12" s="3" t="s">
        <v>144</v>
      </c>
      <c r="O12" t="s">
        <v>25</v>
      </c>
    </row>
    <row r="13" spans="1:15" ht="16" customHeight="1" x14ac:dyDescent="0.35">
      <c r="A13" s="2" t="s">
        <v>28</v>
      </c>
      <c r="B13" t="s">
        <v>29</v>
      </c>
      <c r="C13" t="s">
        <v>30</v>
      </c>
      <c r="D13" t="s">
        <v>94</v>
      </c>
      <c r="E13">
        <v>90</v>
      </c>
      <c r="F13">
        <v>130</v>
      </c>
      <c r="G13" s="2" t="s">
        <v>28</v>
      </c>
      <c r="H13" t="s">
        <v>29</v>
      </c>
      <c r="I13" t="s">
        <v>30</v>
      </c>
      <c r="M13">
        <f>VLOOKUP(A13,naming_lookup!$C$1:$G$40,3,FALSE)</f>
        <v>90</v>
      </c>
      <c r="N13" s="3" t="s">
        <v>146</v>
      </c>
      <c r="O13" t="s">
        <v>147</v>
      </c>
    </row>
    <row r="14" spans="1:15" ht="16" customHeight="1" x14ac:dyDescent="0.35">
      <c r="A14" t="s">
        <v>45</v>
      </c>
      <c r="B14" t="s">
        <v>46</v>
      </c>
      <c r="C14" t="s">
        <v>138</v>
      </c>
      <c r="D14" t="s">
        <v>92</v>
      </c>
      <c r="E14">
        <v>0</v>
      </c>
      <c r="F14">
        <v>2200</v>
      </c>
      <c r="G14" t="s">
        <v>45</v>
      </c>
      <c r="H14" t="s">
        <v>148</v>
      </c>
      <c r="I14" t="s">
        <v>42</v>
      </c>
      <c r="J14" t="s">
        <v>149</v>
      </c>
      <c r="K14" t="s">
        <v>150</v>
      </c>
      <c r="L14" t="s">
        <v>22</v>
      </c>
      <c r="M14">
        <f>VLOOKUP(A14,naming_lookup!$C$1:$G$40,3,FALSE)</f>
        <v>0</v>
      </c>
    </row>
    <row r="15" spans="1:15" ht="16" customHeight="1" x14ac:dyDescent="0.35">
      <c r="A15" t="s">
        <v>40</v>
      </c>
      <c r="B15" t="s">
        <v>41</v>
      </c>
      <c r="C15" t="s">
        <v>138</v>
      </c>
      <c r="D15" t="s">
        <v>92</v>
      </c>
      <c r="E15">
        <v>0</v>
      </c>
      <c r="F15">
        <v>2200</v>
      </c>
      <c r="G15" t="s">
        <v>40</v>
      </c>
      <c r="H15" t="s">
        <v>151</v>
      </c>
      <c r="I15" t="s">
        <v>42</v>
      </c>
      <c r="M15">
        <f>VLOOKUP(A15,naming_lookup!$C$1:$G$40,3,FALSE)</f>
        <v>0</v>
      </c>
    </row>
    <row r="16" spans="1:15" ht="16" customHeight="1" x14ac:dyDescent="0.35">
      <c r="A16" t="s">
        <v>43</v>
      </c>
      <c r="B16" t="s">
        <v>44</v>
      </c>
      <c r="C16" t="s">
        <v>138</v>
      </c>
      <c r="D16" t="s">
        <v>92</v>
      </c>
      <c r="E16">
        <v>0</v>
      </c>
      <c r="F16">
        <v>2200</v>
      </c>
      <c r="G16" t="s">
        <v>43</v>
      </c>
      <c r="H16" t="s">
        <v>152</v>
      </c>
      <c r="I16" t="s">
        <v>42</v>
      </c>
      <c r="J16" t="s">
        <v>153</v>
      </c>
      <c r="K16" t="s">
        <v>154</v>
      </c>
      <c r="L16" t="s">
        <v>155</v>
      </c>
      <c r="M16">
        <f>VLOOKUP(A16,naming_lookup!$C$1:$G$40,3,FALSE)</f>
        <v>0</v>
      </c>
    </row>
    <row r="17" spans="1:15" ht="16" customHeight="1" x14ac:dyDescent="0.35">
      <c r="A17" t="s">
        <v>107</v>
      </c>
      <c r="B17" t="s">
        <v>72</v>
      </c>
      <c r="C17" t="s">
        <v>125</v>
      </c>
      <c r="D17" t="s">
        <v>92</v>
      </c>
      <c r="E17">
        <v>0</v>
      </c>
      <c r="F17">
        <v>1200</v>
      </c>
      <c r="I17" t="s">
        <v>22</v>
      </c>
      <c r="M17">
        <f>VLOOKUP(A17,naming_lookup!$C$1:$G$40,3,FALSE)</f>
        <v>0</v>
      </c>
      <c r="N17" s="3" t="s">
        <v>157</v>
      </c>
      <c r="O17" t="s">
        <v>131</v>
      </c>
    </row>
    <row r="18" spans="1:15" ht="16" customHeight="1" x14ac:dyDescent="0.35">
      <c r="A18" t="s">
        <v>69</v>
      </c>
      <c r="B18" t="s">
        <v>70</v>
      </c>
      <c r="C18" t="s">
        <v>158</v>
      </c>
      <c r="D18" t="s">
        <v>95</v>
      </c>
      <c r="E18">
        <v>30</v>
      </c>
      <c r="F18">
        <v>120</v>
      </c>
      <c r="G18" t="s">
        <v>69</v>
      </c>
      <c r="H18" t="s">
        <v>70</v>
      </c>
      <c r="I18" t="s">
        <v>19</v>
      </c>
      <c r="M18">
        <f>VLOOKUP(A18,naming_lookup!$C$1:$G$40,3,FALSE)</f>
        <v>30</v>
      </c>
      <c r="N18" s="3" t="s">
        <v>160</v>
      </c>
      <c r="O18" t="s">
        <v>19</v>
      </c>
    </row>
    <row r="19" spans="1:15" ht="16" customHeight="1" x14ac:dyDescent="0.35">
      <c r="A19" t="s">
        <v>100</v>
      </c>
      <c r="B19" t="s">
        <v>60</v>
      </c>
      <c r="C19" t="s">
        <v>125</v>
      </c>
      <c r="D19" t="s">
        <v>92</v>
      </c>
      <c r="E19">
        <v>-500</v>
      </c>
      <c r="F19">
        <v>1200</v>
      </c>
      <c r="H19" t="s">
        <v>161</v>
      </c>
      <c r="I19" t="s">
        <v>22</v>
      </c>
      <c r="M19">
        <f>VLOOKUP(A19,naming_lookup!$C$1:$G$40,3,FALSE)</f>
        <v>-500</v>
      </c>
      <c r="N19" s="3" t="s">
        <v>162</v>
      </c>
      <c r="O19" t="s">
        <v>131</v>
      </c>
    </row>
    <row r="20" spans="1:15" ht="16" customHeight="1" x14ac:dyDescent="0.35">
      <c r="A20" t="s">
        <v>31</v>
      </c>
      <c r="B20" t="s">
        <v>32</v>
      </c>
      <c r="C20" t="s">
        <v>125</v>
      </c>
      <c r="D20" t="s">
        <v>92</v>
      </c>
      <c r="E20">
        <v>0</v>
      </c>
      <c r="F20">
        <v>1200</v>
      </c>
      <c r="G20" t="s">
        <v>31</v>
      </c>
      <c r="H20" t="s">
        <v>163</v>
      </c>
      <c r="I20" t="s">
        <v>22</v>
      </c>
      <c r="J20" t="s">
        <v>164</v>
      </c>
      <c r="K20" t="s">
        <v>165</v>
      </c>
      <c r="L20" t="s">
        <v>22</v>
      </c>
      <c r="M20">
        <f>VLOOKUP(A20,naming_lookup!$C$1:$G$40,3,FALSE)</f>
        <v>0</v>
      </c>
      <c r="N20" s="3" t="s">
        <v>157</v>
      </c>
      <c r="O20" t="s">
        <v>131</v>
      </c>
    </row>
    <row r="21" spans="1:15" ht="16" customHeight="1" x14ac:dyDescent="0.35">
      <c r="A21" t="s">
        <v>33</v>
      </c>
      <c r="B21" t="s">
        <v>34</v>
      </c>
      <c r="C21" t="s">
        <v>125</v>
      </c>
      <c r="D21" t="s">
        <v>92</v>
      </c>
      <c r="E21">
        <v>0</v>
      </c>
      <c r="F21">
        <v>300</v>
      </c>
      <c r="G21" t="s">
        <v>33</v>
      </c>
      <c r="H21" t="s">
        <v>166</v>
      </c>
      <c r="I21" t="s">
        <v>22</v>
      </c>
      <c r="J21" t="s">
        <v>167</v>
      </c>
      <c r="K21" t="s">
        <v>168</v>
      </c>
      <c r="L21" t="s">
        <v>22</v>
      </c>
      <c r="M21">
        <f>VLOOKUP(A21,naming_lookup!$C$1:$G$40,3,FALSE)</f>
        <v>0</v>
      </c>
    </row>
    <row r="22" spans="1:15" ht="16" customHeight="1" x14ac:dyDescent="0.35">
      <c r="A22" t="s">
        <v>17</v>
      </c>
      <c r="B22" t="s">
        <v>18</v>
      </c>
      <c r="C22" t="s">
        <v>19</v>
      </c>
      <c r="D22" t="s">
        <v>96</v>
      </c>
      <c r="E22">
        <v>0</v>
      </c>
      <c r="F22">
        <v>100</v>
      </c>
      <c r="G22" t="s">
        <v>17</v>
      </c>
      <c r="H22" t="s">
        <v>18</v>
      </c>
      <c r="I22" t="s">
        <v>19</v>
      </c>
      <c r="J22" t="s">
        <v>169</v>
      </c>
      <c r="K22" t="s">
        <v>170</v>
      </c>
      <c r="L22" t="s">
        <v>83</v>
      </c>
      <c r="M22">
        <f>VLOOKUP(A22,naming_lookup!$C$1:$G$40,3,FALSE)</f>
        <v>0</v>
      </c>
      <c r="N22" s="3" t="s">
        <v>172</v>
      </c>
      <c r="O22" t="s">
        <v>173</v>
      </c>
    </row>
    <row r="23" spans="1:15" ht="16" customHeight="1" x14ac:dyDescent="0.35">
      <c r="A23" t="s">
        <v>67</v>
      </c>
      <c r="B23" t="s">
        <v>68</v>
      </c>
      <c r="C23" t="s">
        <v>174</v>
      </c>
      <c r="D23" t="s">
        <v>97</v>
      </c>
      <c r="E23">
        <v>-40</v>
      </c>
      <c r="F23">
        <v>50</v>
      </c>
      <c r="G23" t="s">
        <v>67</v>
      </c>
      <c r="H23" t="s">
        <v>68</v>
      </c>
      <c r="I23" t="s">
        <v>14</v>
      </c>
      <c r="M23">
        <f>VLOOKUP(A23,naming_lookup!$C$1:$G$40,3,FALSE)</f>
        <v>-40</v>
      </c>
      <c r="N23" s="3" t="s">
        <v>175</v>
      </c>
      <c r="O23" t="s">
        <v>176</v>
      </c>
    </row>
    <row r="24" spans="1:15" ht="16" customHeight="1" x14ac:dyDescent="0.35">
      <c r="A24" t="s">
        <v>12</v>
      </c>
      <c r="B24" t="s">
        <v>13</v>
      </c>
      <c r="C24" t="s">
        <v>174</v>
      </c>
      <c r="D24" t="s">
        <v>97</v>
      </c>
      <c r="E24">
        <v>-20</v>
      </c>
      <c r="F24">
        <v>50</v>
      </c>
      <c r="G24" t="s">
        <v>12</v>
      </c>
      <c r="H24" t="s">
        <v>13</v>
      </c>
      <c r="I24" t="s">
        <v>14</v>
      </c>
      <c r="J24" t="s">
        <v>177</v>
      </c>
      <c r="K24" t="s">
        <v>178</v>
      </c>
      <c r="L24" t="s">
        <v>176</v>
      </c>
      <c r="M24">
        <f>VLOOKUP(A24,naming_lookup!$C$1:$G$40,3,FALSE)</f>
        <v>-20</v>
      </c>
      <c r="N24" s="3" t="s">
        <v>180</v>
      </c>
      <c r="O24" t="s">
        <v>176</v>
      </c>
    </row>
    <row r="25" spans="1:15" ht="16" customHeight="1" x14ac:dyDescent="0.35">
      <c r="A25" t="s">
        <v>54</v>
      </c>
      <c r="B25" t="s">
        <v>55</v>
      </c>
      <c r="C25" t="s">
        <v>181</v>
      </c>
      <c r="D25" t="s">
        <v>92</v>
      </c>
      <c r="E25">
        <v>0</v>
      </c>
      <c r="F25">
        <v>360</v>
      </c>
      <c r="G25" t="s">
        <v>54</v>
      </c>
      <c r="H25" t="s">
        <v>55</v>
      </c>
      <c r="I25" t="s">
        <v>181</v>
      </c>
      <c r="L25" t="s">
        <v>181</v>
      </c>
      <c r="M25">
        <f>VLOOKUP(A25,naming_lookup!$C$1:$G$40,3,FALSE)</f>
        <v>0</v>
      </c>
      <c r="O25" t="s">
        <v>181</v>
      </c>
    </row>
    <row r="26" spans="1:15" ht="16" customHeight="1" x14ac:dyDescent="0.35">
      <c r="A26" t="s">
        <v>51</v>
      </c>
      <c r="B26" t="s">
        <v>52</v>
      </c>
      <c r="C26" t="s">
        <v>125</v>
      </c>
      <c r="D26" t="s">
        <v>92</v>
      </c>
      <c r="E26">
        <v>0</v>
      </c>
      <c r="F26">
        <v>30</v>
      </c>
      <c r="G26" t="s">
        <v>51</v>
      </c>
      <c r="H26" t="s">
        <v>52</v>
      </c>
      <c r="I26" t="s">
        <v>53</v>
      </c>
      <c r="M26">
        <f>VLOOKUP(A26,naming_lookup!$C$1:$G$40,3,FALSE)</f>
        <v>0</v>
      </c>
      <c r="N26" s="3" t="s">
        <v>182</v>
      </c>
      <c r="O26" t="s">
        <v>53</v>
      </c>
    </row>
    <row r="27" spans="1:15" ht="16" customHeight="1" x14ac:dyDescent="0.35">
      <c r="A27" t="s">
        <v>23</v>
      </c>
      <c r="B27" t="s">
        <v>24</v>
      </c>
      <c r="C27" t="s">
        <v>25</v>
      </c>
      <c r="D27" t="s">
        <v>90</v>
      </c>
      <c r="E27">
        <v>-10</v>
      </c>
      <c r="F27">
        <v>10</v>
      </c>
      <c r="G27" t="s">
        <v>23</v>
      </c>
      <c r="H27" t="s">
        <v>24</v>
      </c>
      <c r="I27" t="s">
        <v>25</v>
      </c>
      <c r="J27" t="s">
        <v>183</v>
      </c>
      <c r="K27" t="s">
        <v>184</v>
      </c>
      <c r="L27" t="s">
        <v>25</v>
      </c>
      <c r="M27">
        <f>VLOOKUP(A27,naming_lookup!$C$1:$G$40,3,FALSE)</f>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dt_meta</vt:lpstr>
      <vt:lpstr>naming_lookup</vt:lpstr>
      <vt:lpstr>dt_var_naming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Claudia Caporusso</cp:lastModifiedBy>
  <dcterms:created xsi:type="dcterms:W3CDTF">2026-02-06T14:14:05Z</dcterms:created>
  <dcterms:modified xsi:type="dcterms:W3CDTF">2026-03-26T16:20:01Z</dcterms:modified>
</cp:coreProperties>
</file>